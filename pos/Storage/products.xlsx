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ena\testgit\pos\Storage\"/>
    </mc:Choice>
  </mc:AlternateContent>
  <xr:revisionPtr revIDLastSave="0" documentId="13_ncr:1_{64D7C242-7F6B-488F-AA2A-0227C572D860}" xr6:coauthVersionLast="47" xr6:coauthVersionMax="47" xr10:uidLastSave="{00000000-0000-0000-0000-000000000000}"/>
  <bookViews>
    <workbookView xWindow="3510" yWindow="600" windowWidth="19200" windowHeight="15600" xr2:uid="{29C51260-941C-5C46-862E-B9141B75B444}"/>
  </bookViews>
  <sheets>
    <sheet name="Storage" sheetId="1" r:id="rId1"/>
  </sheets>
  <definedNames>
    <definedName name="_xlnm._FilterDatabase" localSheetId="0" hidden="1">Storage!$B$1:$H$305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8" i="1" l="1"/>
  <c r="E246" i="1"/>
  <c r="E245" i="1"/>
  <c r="E244" i="1"/>
  <c r="E234" i="1"/>
  <c r="E230" i="1"/>
  <c r="E207" i="1"/>
  <c r="E206" i="1"/>
  <c r="E174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4" i="1"/>
  <c r="E103" i="1"/>
  <c r="E102" i="1"/>
  <c r="E101" i="1"/>
  <c r="E100" i="1"/>
  <c r="E99" i="1"/>
  <c r="E98" i="1"/>
  <c r="E97" i="1"/>
  <c r="E96" i="1"/>
  <c r="E95" i="1"/>
  <c r="E94" i="1"/>
  <c r="E93" i="1"/>
  <c r="E81" i="1"/>
  <c r="E80" i="1"/>
  <c r="E53" i="1"/>
  <c r="E51" i="1"/>
  <c r="E48" i="1"/>
  <c r="E47" i="1"/>
  <c r="E45" i="1"/>
  <c r="E44" i="1"/>
  <c r="E43" i="1"/>
  <c r="E42" i="1"/>
  <c r="E41" i="1"/>
  <c r="E40" i="1"/>
  <c r="E19" i="1"/>
  <c r="E18" i="1"/>
</calcChain>
</file>

<file path=xl/sharedStrings.xml><?xml version="1.0" encoding="utf-8"?>
<sst xmlns="http://schemas.openxmlformats.org/spreadsheetml/2006/main" count="1071" uniqueCount="503">
  <si>
    <t>BARCODE</t>
  </si>
  <si>
    <t>ຊື່ສິນຄ້າ</t>
  </si>
  <si>
    <t>ປະເພດ</t>
  </si>
  <si>
    <t>ລາຄາ</t>
  </si>
  <si>
    <t>THB</t>
  </si>
  <si>
    <t>Stock</t>
  </si>
  <si>
    <t>ໜ່ວຍ</t>
  </si>
  <si>
    <t>Currency</t>
  </si>
  <si>
    <t>ກາວລາເທັກ ATM 100g</t>
  </si>
  <si>
    <t>ກາວ</t>
  </si>
  <si>
    <t>ຕຸກ</t>
  </si>
  <si>
    <t>ກາວລາເທັກ ATM 210g</t>
  </si>
  <si>
    <t>ກາວລາເທັກ ATM 420g</t>
  </si>
  <si>
    <t>ກາວລາເທັກ ATM 850g</t>
  </si>
  <si>
    <t>3 ທາງ 18</t>
  </si>
  <si>
    <t>ຂໍ້ຕໍ່</t>
  </si>
  <si>
    <t>ອັນ</t>
  </si>
  <si>
    <t>3 ທາງງໍ 18</t>
  </si>
  <si>
    <t>PVC044</t>
  </si>
  <si>
    <t>4 ທາງ 18</t>
  </si>
  <si>
    <t>ຂໍ້ງໍ 18</t>
  </si>
  <si>
    <t>ຂໍ້ງໍ 45° 55</t>
  </si>
  <si>
    <t>ຂໍ້ງໍກຽວໃນ 18</t>
  </si>
  <si>
    <t>ຂໍ້ຕໍ່ຊື່ 18</t>
  </si>
  <si>
    <t>PVC042</t>
  </si>
  <si>
    <t>ຂໍ້ຕໍ່ຊື່ກຽວນອກ 18</t>
  </si>
  <si>
    <t>PVC043</t>
  </si>
  <si>
    <t>ຂໍ້ຕໍ່ຊື່ກຽວນອກ 18 ກຽວທອງ</t>
  </si>
  <si>
    <t>ຂໍ້ຕໍ່ຊື່ກຽວໃນ 18</t>
  </si>
  <si>
    <t>ຂໍ້ຕໍ່ຊື່ກຽວໃນ 55</t>
  </si>
  <si>
    <t>ບອນວາວ 1/2" Lucky</t>
  </si>
  <si>
    <t>ບອນວາວ 1/2" SCG</t>
  </si>
  <si>
    <t>PVC041</t>
  </si>
  <si>
    <t>ທໍ່ໂຕໂຢ</t>
  </si>
  <si>
    <t>ເຄື່ອງໃຊ້</t>
  </si>
  <si>
    <t>ແມັດ</t>
  </si>
  <si>
    <t>SB009</t>
  </si>
  <si>
    <t>ກະດາດຊາຍ</t>
  </si>
  <si>
    <t>ເຄື່ອງມື</t>
  </si>
  <si>
    <t>ແຜ່ນ</t>
  </si>
  <si>
    <t>SB010</t>
  </si>
  <si>
    <t>ກະດາດຊາຍ ຂັດເພດານ</t>
  </si>
  <si>
    <t>SB005</t>
  </si>
  <si>
    <t>ກິບປັບກະໂລ ສີສົ້ມ/ດຳ</t>
  </si>
  <si>
    <t>ຖົງ</t>
  </si>
  <si>
    <t>SB004</t>
  </si>
  <si>
    <t>ຄິບປັບລະດັບກະໂລ ສີໃສ 1.0mm</t>
  </si>
  <si>
    <t>CU002</t>
  </si>
  <si>
    <t>ເສັ້ນທອງກັນຟ້າຜ່າ 1M</t>
  </si>
  <si>
    <t>ເສັ້ນ</t>
  </si>
  <si>
    <t>CU001</t>
  </si>
  <si>
    <t>ເສັ້ນທອງກັນຟ້າຜ່າ 50cm</t>
  </si>
  <si>
    <t>ທູບຈອດ KOBE 2.6</t>
  </si>
  <si>
    <t>ກັບ</t>
  </si>
  <si>
    <t xml:space="preserve">ໃບຕັດກະໂລ 4"x25/32" TOTAL </t>
  </si>
  <si>
    <t>ໃບ</t>
  </si>
  <si>
    <t xml:space="preserve">ໃບຕັດກະໂລ 4"x5/8" TOTAL </t>
  </si>
  <si>
    <t>TOOL005</t>
  </si>
  <si>
    <t xml:space="preserve">ໃບຕັດກະໂລ 4"x6/5" NOVA BULL </t>
  </si>
  <si>
    <t xml:space="preserve">ໃບຕັດເຫຼັກ 4" TOTAL </t>
  </si>
  <si>
    <t>TOOL004</t>
  </si>
  <si>
    <t>ພຸກຢາງ ເບີ10</t>
  </si>
  <si>
    <t>TOOL001</t>
  </si>
  <si>
    <t>ພຸກຢາງ ເບີ6</t>
  </si>
  <si>
    <t>TOOL002</t>
  </si>
  <si>
    <t>ພຸກຢາງ ເບີ7</t>
  </si>
  <si>
    <t>TOOL003</t>
  </si>
  <si>
    <t>ພຸກຢາງ ເບີ8</t>
  </si>
  <si>
    <t>ແມັດກໍ້ 10M TOTAL</t>
  </si>
  <si>
    <t>ແມັດກໍ້ 3M TOTAL</t>
  </si>
  <si>
    <t>ແມັດກໍ້ 8M TOTAL</t>
  </si>
  <si>
    <t>SB006</t>
  </si>
  <si>
    <t>ລິ່ມປັບລະດັບກະໂລ</t>
  </si>
  <si>
    <t>ສີກັນໝ້ຽງ ATM ສີເທົາ 1/4Gal-1040</t>
  </si>
  <si>
    <t>ສ່ວນຜະສົມ</t>
  </si>
  <si>
    <t>ປ໋ອງ</t>
  </si>
  <si>
    <t>ສີກັນໝ້ຽງ ATM ສີເທົາ 1Gal-1040</t>
  </si>
  <si>
    <t>ກະປິດ</t>
  </si>
  <si>
    <t>ສີກັນໝ້ຽງ Galant ສີແດງ 1/4Gal-1024</t>
  </si>
  <si>
    <t>ສີກັນໝ້ຽງ Galant ສີແດງ 1Gal-1024</t>
  </si>
  <si>
    <t>ທິນເນີ້ AAA ກາຫົວສິງ 1Gal</t>
  </si>
  <si>
    <t xml:space="preserve">ທິນເນີ້ AAA ກາຫົວສິງ ແກ້ວ </t>
  </si>
  <si>
    <t>ແກ້ວ</t>
  </si>
  <si>
    <t>ທິນເນີ້ ກະພົງແດງ 2L</t>
  </si>
  <si>
    <t>ນ້ຳມັນກັນປວກ 1Gal ກາຫົວສິງ</t>
  </si>
  <si>
    <t>ນ້ຳມັນສົນ 1Gal ກາຫົວສິງ</t>
  </si>
  <si>
    <t>ນ້ຳຢາກັນຊຶມ ATM 1/4Gal</t>
  </si>
  <si>
    <t>ນ້ຳຢາກັນຊຶມ ATM 1Gal</t>
  </si>
  <si>
    <t>ແລັກເກີ້ 1Gal ກາຫົວສິງ</t>
  </si>
  <si>
    <t>ວານິດເງົາ ກາກູ້ງ 1/4Gal</t>
  </si>
  <si>
    <t>ວານິດເງົາ ກາກູ້ງ 1Gal</t>
  </si>
  <si>
    <t>CB006</t>
  </si>
  <si>
    <t>ສາຍໄຟ Thai Cable THW 1x10</t>
  </si>
  <si>
    <t>ສາຍໄຟ</t>
  </si>
  <si>
    <t>CB007</t>
  </si>
  <si>
    <t>ສາຍໄຟ Thai Cable THW 1x16</t>
  </si>
  <si>
    <t>CB001</t>
  </si>
  <si>
    <t>ສາຍໄຟ TOP 2x1</t>
  </si>
  <si>
    <t>CB002</t>
  </si>
  <si>
    <t>ສາຍໄຟ TOP 2x1.5</t>
  </si>
  <si>
    <t>CB003</t>
  </si>
  <si>
    <t>ສາຍໄຟ TOP 2x2.5</t>
  </si>
  <si>
    <t>CB004</t>
  </si>
  <si>
    <t>ສາຍໄຟ TOP 2x4</t>
  </si>
  <si>
    <t>CB005</t>
  </si>
  <si>
    <t>ສາຍໄຟ TOP 2x6</t>
  </si>
  <si>
    <t>CB008</t>
  </si>
  <si>
    <t xml:space="preserve">ສາຍໄຟ ອ່ອນ (ເຫຼືອງເທົາ) 2x0.5 </t>
  </si>
  <si>
    <t>ສີທາກະເບື້ອງ ATM 1Gal 100 ຂາວ</t>
  </si>
  <si>
    <t>ສີກະເບື້ອງ</t>
  </si>
  <si>
    <t>ສີທາກະເບື້ອງ ATM 1Gal 102 ແດງ</t>
  </si>
  <si>
    <t>ສີທາກະເບື້ອງ ATM 1Gal 107 ຕັບໝູ</t>
  </si>
  <si>
    <t>ສີທາກະເບື້ອງ ATM 1Gal 108 ຟ້າ</t>
  </si>
  <si>
    <t>ສີທາກະເບື້ອງ ATM 1Gal 109 ຟ້າທະເລ</t>
  </si>
  <si>
    <t>CL007118</t>
  </si>
  <si>
    <t>ສີທາກະເບື້ອງ ATM 1Gal 118 ສົ້ມ</t>
  </si>
  <si>
    <t>ສີສະເປ RedFox No.13 ຂຽວແກ່</t>
  </si>
  <si>
    <t>ສີສະເປ</t>
  </si>
  <si>
    <t>ສີສະເປ RedFox No.15 ຟ້າ</t>
  </si>
  <si>
    <t>ສີສະເປ RedFox No.190 ສີໃສ</t>
  </si>
  <si>
    <t>ສີສະເປ RedFox No.23 ແດງ</t>
  </si>
  <si>
    <t>ສີສະເປ RedFox No.25 ເຫຼືອງ</t>
  </si>
  <si>
    <t>ສີສະເປ RedFox No.30 ບົວ</t>
  </si>
  <si>
    <t>ສີສະເປ RedFox No.351 ທອງ</t>
  </si>
  <si>
    <t>ສີສະເປ RedFox No.36 ປອນ</t>
  </si>
  <si>
    <t>ສີສະເປ RedFox No.37 ຂຽວອ່ອນ</t>
  </si>
  <si>
    <t>ສີສະເປ RedFox No.4 ດຳດ້ານ</t>
  </si>
  <si>
    <t>ສີສະເປ RedFox No.40 ຂາວ</t>
  </si>
  <si>
    <t>ສີສະເປ RedFox No.45 ມ່ວງ</t>
  </si>
  <si>
    <t>ສີຍ້ອມໄມ້ Beger#1914 ສີໄມ້ຂະຍຸງ 1L</t>
  </si>
  <si>
    <t>ສີທາໄມ້</t>
  </si>
  <si>
    <t>ສີຍ້ອມໄມ້ Beger#1914 ສີໄມ້ຂະຍຸງ 3L</t>
  </si>
  <si>
    <t>ທິນເນີ້ Beger M-1199 1L</t>
  </si>
  <si>
    <t>SS262201004</t>
  </si>
  <si>
    <t>ຝອຍທາສີສະແລັກ 4cm</t>
  </si>
  <si>
    <t>SS262201006</t>
  </si>
  <si>
    <t>ຝອຍທາສີສະແລັກ 6cm</t>
  </si>
  <si>
    <t>SS262201010</t>
  </si>
  <si>
    <t>ຝອຍທາສີສະແລັກ 8cm</t>
  </si>
  <si>
    <t>CL004</t>
  </si>
  <si>
    <t>ສີພາຍນອກ 18L</t>
  </si>
  <si>
    <t>ສີນ້ຳ</t>
  </si>
  <si>
    <t>ຖັງ</t>
  </si>
  <si>
    <t>CL003</t>
  </si>
  <si>
    <t>ສີພາຍນອກ 9L</t>
  </si>
  <si>
    <t>CL002</t>
  </si>
  <si>
    <t>ສີພາຍໃນ 18L</t>
  </si>
  <si>
    <t>CL001</t>
  </si>
  <si>
    <t>ສີພາຍໃນ 9L</t>
  </si>
  <si>
    <t>CL005</t>
  </si>
  <si>
    <t>ສີນ້ຳມັນ DENZO 0.85L</t>
  </si>
  <si>
    <t>ສີນ້ຳມັນ</t>
  </si>
  <si>
    <t>CL006</t>
  </si>
  <si>
    <t>ສີນ້ຳມັນ DENZO 3.4L</t>
  </si>
  <si>
    <t>CM013</t>
  </si>
  <si>
    <t>ຊາມກອຍປູນ</t>
  </si>
  <si>
    <t>ຊີມັງ</t>
  </si>
  <si>
    <t>ຊາມ</t>
  </si>
  <si>
    <t>CM005</t>
  </si>
  <si>
    <t>ຊີມັງ ກາເສືອ SCG</t>
  </si>
  <si>
    <t>ສອບ</t>
  </si>
  <si>
    <t>CM011</t>
  </si>
  <si>
    <t>ຊີມັງ ກາເສືອ SCG 1T</t>
  </si>
  <si>
    <t>ໂຕນ</t>
  </si>
  <si>
    <t>CM004</t>
  </si>
  <si>
    <t>ຊີມັງຂຽວ ກາກະທິງ</t>
  </si>
  <si>
    <t>CM010</t>
  </si>
  <si>
    <t>ຊີມັງຂຽວ ກາກະທິງ 1T</t>
  </si>
  <si>
    <t>CM002</t>
  </si>
  <si>
    <t>ຊີມັງຂຽວ ກາສິງ</t>
  </si>
  <si>
    <t>CM008</t>
  </si>
  <si>
    <t>ຊີມັງຂຽວ ກາສິງ 1T</t>
  </si>
  <si>
    <t>CM003</t>
  </si>
  <si>
    <t xml:space="preserve">ຊີມັງແດງ ກາກະທິງ </t>
  </si>
  <si>
    <t>CM009</t>
  </si>
  <si>
    <t>ຊີມັງແດງ ກາກະທິງ 1T</t>
  </si>
  <si>
    <t>CM001</t>
  </si>
  <si>
    <t>ຊີມັງແດງ ກາສິງ</t>
  </si>
  <si>
    <t>CM007</t>
  </si>
  <si>
    <t>ຊີມັງແດງ ກາສິງ 1T</t>
  </si>
  <si>
    <t>CM006</t>
  </si>
  <si>
    <t>ຊີມັງແດງ ກາຊ້າງ SCG</t>
  </si>
  <si>
    <t>CM012</t>
  </si>
  <si>
    <t>ຊີມັງແດງ ກາຊ້າງ SCG 1T</t>
  </si>
  <si>
    <t>PVC001</t>
  </si>
  <si>
    <t>ທໍ່ PVC 18 ຊັ້ນ 5 ກາເສືອ</t>
  </si>
  <si>
    <t>ທໍ່ PVC</t>
  </si>
  <si>
    <t>PVC002</t>
  </si>
  <si>
    <t>ທໍ່ PVC 20 ຊັ້ນ 5 ກາເສືອ</t>
  </si>
  <si>
    <t>PVC003</t>
  </si>
  <si>
    <t>ທໍ່ PVC 25 ຊັ້ນ 5 ກາເສືອ</t>
  </si>
  <si>
    <t>PVC004</t>
  </si>
  <si>
    <t>ທໍ່ PVC 35 ຊັ້ນ 5 ກາເສືອ</t>
  </si>
  <si>
    <t>PVC005</t>
  </si>
  <si>
    <t>ທໍ່ PVC 40 ຊັ້ນ 5 ກາເສືອ</t>
  </si>
  <si>
    <t>PVC006</t>
  </si>
  <si>
    <t>ທໍ່ PVC 55 ຊັ້ນ 5 ກາເສືອ</t>
  </si>
  <si>
    <t>PVC007</t>
  </si>
  <si>
    <t>ທໍ່ PVC 65 ຊັ້ນ 5 ກາເສືອ</t>
  </si>
  <si>
    <t>PVC008</t>
  </si>
  <si>
    <t>ທໍ່ PVC 80 ຊັ້ນ 5 ກາເສືອ</t>
  </si>
  <si>
    <t>PVC009</t>
  </si>
  <si>
    <t>ທໍ່ PVC 100 ຊັ້ນ 5 ກາເສືອ</t>
  </si>
  <si>
    <t>PVC010</t>
  </si>
  <si>
    <t>ທໍ່ PVC 18 ຊັ້ນ 8.5 ກາເສືອ</t>
  </si>
  <si>
    <t>PVC011</t>
  </si>
  <si>
    <t>ທໍ່ PVC 20 ຊັ້ນ 8.5 ກາເສືອ</t>
  </si>
  <si>
    <t>PVC012</t>
  </si>
  <si>
    <t>ທໍ່ PVC 25 ຊັ້ນ 8.5 ກາເສືອ</t>
  </si>
  <si>
    <t>PVC013</t>
  </si>
  <si>
    <t>ທໍ່ PVC 35 ຊັ້ນ 8.5 ກາເສືອ</t>
  </si>
  <si>
    <t>PVC014</t>
  </si>
  <si>
    <t>ທໍ່ PVC 40 ຊັ້ນ 8.5 ກາເສືອ</t>
  </si>
  <si>
    <t>PVC015</t>
  </si>
  <si>
    <t>ທໍ່ PVC 55 ຊັ້ນ 8.5 ກາເສືອ</t>
  </si>
  <si>
    <t>PVC016</t>
  </si>
  <si>
    <t>ທໍ່ PVC 65 ຊັ້ນ 8.5 ກາເສືອ</t>
  </si>
  <si>
    <t>PVC017</t>
  </si>
  <si>
    <t>ທໍ່ PVC 80 ຊັ້ນ 8.5 ກາເສືອ</t>
  </si>
  <si>
    <t>PVC018</t>
  </si>
  <si>
    <t>ທໍ່ PVC 100 ຊັ້ນ 8.5 ກາເສືອ</t>
  </si>
  <si>
    <t>PVC019</t>
  </si>
  <si>
    <t>ທໍ່ PVC 18 ຊັ້ນ 5 ກາ OK</t>
  </si>
  <si>
    <t>PVC020</t>
  </si>
  <si>
    <t>ທໍ່ PVC 20 ຊັ້ນ 5 ກາ OK</t>
  </si>
  <si>
    <t>PVC021</t>
  </si>
  <si>
    <t>ທໍ່ PVC 25 ຊັ້ນ 5 ກາ OK</t>
  </si>
  <si>
    <t>PVC022</t>
  </si>
  <si>
    <t>ທໍ່ PVC 35 ຊັ້ນ 5 ກາ OK</t>
  </si>
  <si>
    <t>PVC023</t>
  </si>
  <si>
    <t>ທໍ່ PVC 40 ຊັ້ນ 5 ກາ OK</t>
  </si>
  <si>
    <t>PVC024</t>
  </si>
  <si>
    <t>ທໍ່ PVC 55 ຊັ້ນ 5 ກາ OK</t>
  </si>
  <si>
    <t>PVC025</t>
  </si>
  <si>
    <t>ທໍ່ PVC 65 ຊັ້ນ 5 ກາ OK</t>
  </si>
  <si>
    <t>PVC026</t>
  </si>
  <si>
    <t>ທໍ່ PVC 80 ຊັ້ນ 5 ກາ OK</t>
  </si>
  <si>
    <t>PVC027</t>
  </si>
  <si>
    <t>ທໍ່ PVC 100 ຊັ້ນ 5 ກາ OK</t>
  </si>
  <si>
    <t>PVC028</t>
  </si>
  <si>
    <t>ທໍ່ PVC 18 ຊັ້ນ 8.5 ກາ OK</t>
  </si>
  <si>
    <t>PVC029</t>
  </si>
  <si>
    <t>ທໍ່ PVC 20 ຊັ້ນ 8.5 ກາ OK</t>
  </si>
  <si>
    <t>PVC030</t>
  </si>
  <si>
    <t>ທໍ່ PVC 25 ຊັ້ນ 8.5 ກາ OK</t>
  </si>
  <si>
    <t>PVC031</t>
  </si>
  <si>
    <t>ທໍ່ PVC 35 ຊັ້ນ 8.5 ກາ OK</t>
  </si>
  <si>
    <t>PVC032</t>
  </si>
  <si>
    <t>ທໍ່ PVC 40 ຊັ້ນ 8.5 ກາ OK</t>
  </si>
  <si>
    <t>PVC033</t>
  </si>
  <si>
    <t>ທໍ່ PVC 55 ຊັ້ນ 8.5 ກາ OK</t>
  </si>
  <si>
    <t>PVC034</t>
  </si>
  <si>
    <t>ທໍ່ PVC 65 ຊັ້ນ 8.5 ກາ OK</t>
  </si>
  <si>
    <t>PVC035</t>
  </si>
  <si>
    <t>ທໍ່ PVC 80 ຊັ້ນ 8.5 ກາ OK</t>
  </si>
  <si>
    <t>PVC036</t>
  </si>
  <si>
    <t>ທໍ່ PVC 100 ຊັ້ນ 8.5 ກາ OK</t>
  </si>
  <si>
    <t>PVC037</t>
  </si>
  <si>
    <t>ທໍ່ເຫຼືອງ 15 ຊັ້ນ 5</t>
  </si>
  <si>
    <t>PVC038</t>
  </si>
  <si>
    <t>ທໍ່ເຫຼືອງ 18 ຊັ້ນ 5</t>
  </si>
  <si>
    <t>PVC039</t>
  </si>
  <si>
    <t>ທໍ່ເຫຼືອງ 20 ຊັ້ນ 5</t>
  </si>
  <si>
    <t>PVC040</t>
  </si>
  <si>
    <t>ທໍ່ເຫຼືອງ 25 ຊັ້ນ 5</t>
  </si>
  <si>
    <t>ກະແຈ Jadever 50mm</t>
  </si>
  <si>
    <t>ປະຕູ</t>
  </si>
  <si>
    <t>ກະແຈ Jadever 60mm</t>
  </si>
  <si>
    <t>SB018</t>
  </si>
  <si>
    <t>ກະແຈ ກາແຂ້ ກາງ</t>
  </si>
  <si>
    <t>SB019</t>
  </si>
  <si>
    <t>ກະແຈ ກາແຂ້ ນ້ອຍ</t>
  </si>
  <si>
    <t>SB017</t>
  </si>
  <si>
    <t>ກະແຈ ກາແຂ້ ໃຫຍ່</t>
  </si>
  <si>
    <t>SB016</t>
  </si>
  <si>
    <t>ກະແຈ ກາຊ້າງ 38mm</t>
  </si>
  <si>
    <t>SB015</t>
  </si>
  <si>
    <t>ກະແຈ ກາຊ້າງ 50mm</t>
  </si>
  <si>
    <t>ລູກບິດ ປະຕູ MIX</t>
  </si>
  <si>
    <t>SB014</t>
  </si>
  <si>
    <t>ລູກບິດ ປະຕູ ເຂົາຄວາຍ Royal</t>
  </si>
  <si>
    <t>SB012</t>
  </si>
  <si>
    <t>ໄລກອນ 4"</t>
  </si>
  <si>
    <t>SB011</t>
  </si>
  <si>
    <t>ໄລກອນ 6"</t>
  </si>
  <si>
    <t>IB003</t>
  </si>
  <si>
    <t>ຊ່ອງລົມ</t>
  </si>
  <si>
    <t>ປຸກສ້າງ</t>
  </si>
  <si>
    <t>ກ້ອນ</t>
  </si>
  <si>
    <t>IB006</t>
  </si>
  <si>
    <t>ຊາຍກໍ່</t>
  </si>
  <si>
    <t>ລົດ</t>
  </si>
  <si>
    <t>IB005</t>
  </si>
  <si>
    <t>ຊາຍດີ</t>
  </si>
  <si>
    <t>IB004</t>
  </si>
  <si>
    <t>ຊາຍໂບກ</t>
  </si>
  <si>
    <t>IB001</t>
  </si>
  <si>
    <t>ດິນຈີ່</t>
  </si>
  <si>
    <t>IB008</t>
  </si>
  <si>
    <t>ດິນຈີ່ ເຄິ່ງກ້ອນ</t>
  </si>
  <si>
    <t>IB002</t>
  </si>
  <si>
    <t>ດິນບັອກ</t>
  </si>
  <si>
    <t>IB007</t>
  </si>
  <si>
    <t>ຫີນແຮ່</t>
  </si>
  <si>
    <t>SB001</t>
  </si>
  <si>
    <t>ສະມ໊າດບອດ</t>
  </si>
  <si>
    <t>ຝ້າເພດານ</t>
  </si>
  <si>
    <t>ປູນໂປ້ຜະໜັງ ATM 1.5L</t>
  </si>
  <si>
    <t>SB007</t>
  </si>
  <si>
    <t>ຜາກະແຕະ</t>
  </si>
  <si>
    <t>SB003</t>
  </si>
  <si>
    <t>ໄມ້ມອບເພດານ ນ້ອຍ</t>
  </si>
  <si>
    <t>SB002</t>
  </si>
  <si>
    <t>ໄມ້ມອບເພດານ ໃຫຍ່</t>
  </si>
  <si>
    <t>SB008</t>
  </si>
  <si>
    <t>ວາຍເມດ</t>
  </si>
  <si>
    <t>ກໍ້</t>
  </si>
  <si>
    <t>ສະຫວິດໄຟ Zeberg</t>
  </si>
  <si>
    <t>ໄຟຟ້າ</t>
  </si>
  <si>
    <t xml:space="preserve">ເບກເກີ້ 30A ກາຊ້າງ </t>
  </si>
  <si>
    <t>ເບກເກີ້ 32A Haco</t>
  </si>
  <si>
    <t>ຫົວດຸຍຢາງ</t>
  </si>
  <si>
    <t>ຫົວສີດຊຳລະ Vegarr</t>
  </si>
  <si>
    <t>ຫ້ອງນ້ຳ</t>
  </si>
  <si>
    <t>FE010</t>
  </si>
  <si>
    <t>ຕະປູ 10</t>
  </si>
  <si>
    <t>ຕະປູ</t>
  </si>
  <si>
    <t>ໂລ</t>
  </si>
  <si>
    <t>FE005</t>
  </si>
  <si>
    <t>ຕະປູ 3</t>
  </si>
  <si>
    <t>FE006</t>
  </si>
  <si>
    <t>ຕະປູ 4</t>
  </si>
  <si>
    <t>FE007</t>
  </si>
  <si>
    <t>ຕະປູ 5</t>
  </si>
  <si>
    <t>FE008</t>
  </si>
  <si>
    <t>ຕະປູ 6</t>
  </si>
  <si>
    <t>FE009</t>
  </si>
  <si>
    <t>ຕະປູ 8</t>
  </si>
  <si>
    <t>FE016</t>
  </si>
  <si>
    <t>ລວດຂາວ</t>
  </si>
  <si>
    <t>ເຫຼັກ</t>
  </si>
  <si>
    <t>ໂຄ້ງ</t>
  </si>
  <si>
    <t>FE015</t>
  </si>
  <si>
    <t>ລວດດຳ</t>
  </si>
  <si>
    <t>FE017</t>
  </si>
  <si>
    <t>ລວດດຳ ກິໂລ</t>
  </si>
  <si>
    <t>ກິໂລ</t>
  </si>
  <si>
    <t>FE012</t>
  </si>
  <si>
    <t>ເຫຼັກ 6 ກາງ</t>
  </si>
  <si>
    <t>FE002</t>
  </si>
  <si>
    <t>ເຫຼັກ 10 ກາງ</t>
  </si>
  <si>
    <t>FE003</t>
  </si>
  <si>
    <t>ເຫຼັກ 10 ເຕັມ</t>
  </si>
  <si>
    <t>FE001</t>
  </si>
  <si>
    <t>ເຫຼັກ 10 ນ້ອຍ</t>
  </si>
  <si>
    <t>FE011</t>
  </si>
  <si>
    <t xml:space="preserve">ເຫຼັກ 10 ຫວຽດ </t>
  </si>
  <si>
    <t>FE004</t>
  </si>
  <si>
    <t>ເຫຼັກ 6 ນ້ອຍ</t>
  </si>
  <si>
    <t>FE013</t>
  </si>
  <si>
    <t xml:space="preserve">ເຫຼັກ 6 </t>
  </si>
  <si>
    <t>FE014</t>
  </si>
  <si>
    <t>ເຫຼັກ 6 ໃຫຍ່</t>
  </si>
  <si>
    <t>ຂໍ້ຕໍ່ຊື່ 25-18</t>
  </si>
  <si>
    <t>3 ທາງ 40</t>
  </si>
  <si>
    <t>ຝາປິດຕາຍ 100</t>
  </si>
  <si>
    <t>ຂໍ້ງໍ 35</t>
  </si>
  <si>
    <t>ຂໍ້ງໍ 40</t>
  </si>
  <si>
    <t>ຂໍ້ງໍ 55 SCG</t>
  </si>
  <si>
    <t>ຂໍ້ຕໍ່ຊື່ກຽວນອກ 25</t>
  </si>
  <si>
    <t>ຂໍ້ຕໍ່ຊື່ 25</t>
  </si>
  <si>
    <t>ຂໍ້ງໍ 25</t>
  </si>
  <si>
    <t>ຂໍ້ງໍ 45° 25</t>
  </si>
  <si>
    <t>ຂໍ້ງໍກຽວໃນ 25</t>
  </si>
  <si>
    <t>3 ທາງ 25</t>
  </si>
  <si>
    <t>ຂໍ້ງໍກຽວໃນ 18 ກຽວທອງ</t>
  </si>
  <si>
    <t>ຂໍ້ງໍ 45° 35</t>
  </si>
  <si>
    <t>ກາວຊີເມັນ Weber ທົ່ວໄປ 20KG</t>
  </si>
  <si>
    <t>ປູພື້ນ</t>
  </si>
  <si>
    <t>ສະກີມໂຄ໊ດສະມູດ ກາແຂ້ ສີຂາວ 25KG</t>
  </si>
  <si>
    <t>ປູນສາບເພດານ DURA 1KG</t>
  </si>
  <si>
    <t>ປູນສາບເພດານ DURA 25KG</t>
  </si>
  <si>
    <t>ກາວຊີເມັນ Weber ເຂັ້ມຂົ້ນ 20KG</t>
  </si>
  <si>
    <t>PVC045</t>
  </si>
  <si>
    <t>ຂໍ້ງໍ 55 BF</t>
  </si>
  <si>
    <t>Zn001</t>
  </si>
  <si>
    <t>ສັງກະສີ 6ft</t>
  </si>
  <si>
    <t>ສັງກະສິ</t>
  </si>
  <si>
    <t>Zn002</t>
  </si>
  <si>
    <t>ສັງກະສີ 7ft</t>
  </si>
  <si>
    <t>Zn003</t>
  </si>
  <si>
    <t>ສັງກະສີ 8ft</t>
  </si>
  <si>
    <t>Zn004</t>
  </si>
  <si>
    <t>ສັງກະສີ 9ft</t>
  </si>
  <si>
    <t>Zn005</t>
  </si>
  <si>
    <t>ສັງກະສີ 10ft</t>
  </si>
  <si>
    <t>Zn006</t>
  </si>
  <si>
    <t>ສັງກະສີ 12ft</t>
  </si>
  <si>
    <t>FE018</t>
  </si>
  <si>
    <t>ຕະປູ ຕອກສັງກະສີ</t>
  </si>
  <si>
    <t>ຍິບຊ້ຳ 9mm 240x120cm</t>
  </si>
  <si>
    <t>ກາວຕິດທໍ່ SCG ສີໃສ 50g</t>
  </si>
  <si>
    <t>ປ໊ອງ</t>
  </si>
  <si>
    <t>ກາວຕິດທໍ່ SCG ສີໃສ 100g</t>
  </si>
  <si>
    <t>ກາວຕິດທໍ່ SCG ສີໃສ 250g</t>
  </si>
  <si>
    <t xml:space="preserve">ໃບເລື່ອຍຈິກຊໍ ເລື່ອຍໄມ້ໄຟຟ້າ BOSCH </t>
  </si>
  <si>
    <t>IB009</t>
  </si>
  <si>
    <t>ແຮ່ຮ່ອນ</t>
  </si>
  <si>
    <t>ຊີລີໂຄນ TOA ສີດຳ</t>
  </si>
  <si>
    <t>ຊີລີໂຄນ TOA ສີຂາວ</t>
  </si>
  <si>
    <t>ຊີລີໂຄນ TOA ສີໃສ</t>
  </si>
  <si>
    <t>ຊີລີໂຄນ ອະຄິລິກ Sx-1300 Sealex</t>
  </si>
  <si>
    <t>Delivery</t>
  </si>
  <si>
    <t>ຄ່າສົ່ງ</t>
  </si>
  <si>
    <t>ຖ້ຽວ</t>
  </si>
  <si>
    <t>3 ທາງ 55-25</t>
  </si>
  <si>
    <t>ຝາປິດຕາຍ 35</t>
  </si>
  <si>
    <t>ຂໍ້ຕໍ່ຊື່ 55-25</t>
  </si>
  <si>
    <t>ROOF004</t>
  </si>
  <si>
    <t>ແຜ່ນຝ້າລະບາຍອາກາດ</t>
  </si>
  <si>
    <t>ຊຸດທໍ່ລະບາຍນ້ຳ</t>
  </si>
  <si>
    <t>TOOL006</t>
  </si>
  <si>
    <t>ຟອງນ້ຳ</t>
  </si>
  <si>
    <t>TOOL007</t>
  </si>
  <si>
    <t>ມືພະທາຍໄມ້</t>
  </si>
  <si>
    <t>TOOL008</t>
  </si>
  <si>
    <t>ມືພະທາຍຢາງ</t>
  </si>
  <si>
    <t>ROOF001</t>
  </si>
  <si>
    <t>ກະເບື້ອງ</t>
  </si>
  <si>
    <t>ຫຼັງຄາ</t>
  </si>
  <si>
    <t>TOOL009</t>
  </si>
  <si>
    <t>3 ຫຼ່ຽມປາດປູນ 150cm</t>
  </si>
  <si>
    <t>TOOL010</t>
  </si>
  <si>
    <t>3 ຫຼ່ຽມປາດປູນ 180cm</t>
  </si>
  <si>
    <t>TOOL011</t>
  </si>
  <si>
    <t>3 ຫຼ່ຽມປາດປູນ 200cm</t>
  </si>
  <si>
    <t>TOOL012</t>
  </si>
  <si>
    <t>3 ຫຼ່ຽມປາດປູນ 100cm</t>
  </si>
  <si>
    <t>TOOL013</t>
  </si>
  <si>
    <t>3 ຫຼ່ຽມປາດປູນ 120cm</t>
  </si>
  <si>
    <t>ຂໍ້ຕໍ່ຊື່ກຽວນອກ 35</t>
  </si>
  <si>
    <t>ຂໍ້ຕໍ່ຊື່ກຽວນອກ 40</t>
  </si>
  <si>
    <t>ຂໍ້ຕໍ່ຊື່ກຽວໃນ 40</t>
  </si>
  <si>
    <t>TOOL014</t>
  </si>
  <si>
    <t>ຊຸດພຸກ+ນັອດ ເບີ8</t>
  </si>
  <si>
    <t>ຊຸດ</t>
  </si>
  <si>
    <t>ຂໍ້ຕໍ່ຊື່ກຽວໃນ 25</t>
  </si>
  <si>
    <t>ຂໍ້ຕໍ່ຊື່ກຽວໃນ 65</t>
  </si>
  <si>
    <t>ຂໍ້ຕໍ່ຊື່ກຽວໃນ 80</t>
  </si>
  <si>
    <t>ຂໍ້ຕໍ່ຊື່ກຽວໃນ 100</t>
  </si>
  <si>
    <t>ຂໍ້ຕໍ່ຊື່ກຽວນອກ 55</t>
  </si>
  <si>
    <t>ຂໍ້ຕໍ່ຊື່ກຽວນອກ 65</t>
  </si>
  <si>
    <t>ຂໍ້ຕໍ່ຊື່ກຽວນອກ 80</t>
  </si>
  <si>
    <t>ຂໍ້ຕໍ່ຊື່ກຽວນອກ 100</t>
  </si>
  <si>
    <t>ຂໍ້ງໍ 65</t>
  </si>
  <si>
    <t>ຂໍ້ງໍ 80</t>
  </si>
  <si>
    <t>ຂໍ້ງໍ 100</t>
  </si>
  <si>
    <t>ຂໍ້ງໍ 20</t>
  </si>
  <si>
    <t>ຂໍ້ຕໍ່ຊື່ 20</t>
  </si>
  <si>
    <t>ຂໍ້ງໍ 60</t>
  </si>
  <si>
    <t xml:space="preserve">ກາວຕິດທໍ່ນ້ຳ S-LON </t>
  </si>
  <si>
    <t>PAS308204000001</t>
  </si>
  <si>
    <t xml:space="preserve">ໄມ້ຝາ SHERA </t>
  </si>
  <si>
    <t>TOOL015</t>
  </si>
  <si>
    <t>ຂໍເກາະໜາ</t>
  </si>
  <si>
    <t>TOOL016</t>
  </si>
  <si>
    <t>ນັອດຈັບ 6x1</t>
  </si>
  <si>
    <t>TOOL017</t>
  </si>
  <si>
    <t>ນັອດຈັບ ກ່ອງເຫຼືອງນ້ອຍ</t>
  </si>
  <si>
    <t>ກ່ອງ</t>
  </si>
  <si>
    <t>ROOF002</t>
  </si>
  <si>
    <t>ຫຼົບຂ້າງ</t>
  </si>
  <si>
    <t>ROOF003</t>
  </si>
  <si>
    <t>ປິດຊາຍ</t>
  </si>
  <si>
    <t>ສະຫວ່ານຊີປູນ TOTAL 14x16mm</t>
  </si>
  <si>
    <t>TOOL018</t>
  </si>
  <si>
    <t>ນັອດຈັບກະເບື້ອງ</t>
  </si>
  <si>
    <t>ບັອກແກ້ວ</t>
  </si>
  <si>
    <t>ຕົກແຕ່ງ</t>
  </si>
  <si>
    <t>Zn007</t>
  </si>
  <si>
    <t>ຫຼົບສັງກະສີ</t>
  </si>
  <si>
    <t>TOOL019</t>
  </si>
  <si>
    <t>ນັອດດຳ</t>
  </si>
  <si>
    <t>TOOL020</t>
  </si>
  <si>
    <t>ນັອດກຽວ</t>
  </si>
  <si>
    <t>ROOF005</t>
  </si>
  <si>
    <t>ຊີລາຍ</t>
  </si>
  <si>
    <t>TOOL021</t>
  </si>
  <si>
    <t>ນັອດຫົວສະຫວ່ານ #7x25mm 500ໂຕ</t>
  </si>
  <si>
    <t>TOOL022</t>
  </si>
  <si>
    <t>ນັອດຫົວແຫຼມ #7x45mm 200ໂຕ</t>
  </si>
  <si>
    <t>TOOL023</t>
  </si>
  <si>
    <t>ຫົວວິດ</t>
  </si>
  <si>
    <t>FE019</t>
  </si>
  <si>
    <t>ຕະປູ 5 ແກັດ</t>
  </si>
  <si>
    <t>ແກັດ</t>
  </si>
  <si>
    <t>FE020</t>
  </si>
  <si>
    <t>ຕະປູ 6 ແກັດ</t>
  </si>
  <si>
    <t>FE021</t>
  </si>
  <si>
    <t>ເຫຼັກ 12</t>
  </si>
  <si>
    <t>ໃບຕັດ TOTAL 14"x1/8"x1"</t>
  </si>
  <si>
    <t>ROOF006</t>
  </si>
  <si>
    <t>ແຜ່ນລຽບ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</si>
</sst>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LaoSangamM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895960BD-408F-504B-8287-18014730BE5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DE2C-445B-0142-85C7-C5F217E92EE4}">
  <sheetPr codeName="Sheet4"/>
  <dimension ref="B1:I283"/>
  <sheetViews>
    <sheetView tabSelected="1" zoomScaleNormal="79" workbookViewId="0">
      <selection activeCell="I23" sqref="I23"/>
    </sheetView>
  </sheetViews>
  <sheetFormatPr defaultColWidth="10.85546875" defaultRowHeight="15"/>
  <cols>
    <col min="2" max="2" width="25" bestFit="1" customWidth="1"/>
    <col min="3" max="3" width="40.28515625" bestFit="1" customWidth="1"/>
    <col min="4" max="4" width="13.28515625" bestFit="1" customWidth="1"/>
    <col min="5" max="5" width="14.7109375" bestFit="1" customWidth="1"/>
    <col min="6" max="6" width="10.5703125" customWidth="1"/>
    <col min="7" max="7" width="13" bestFit="1" customWidth="1"/>
    <col min="8" max="8" width="12.140625" bestFit="1" customWidth="1"/>
    <col min="9" max="9" width="16.85546875" bestFit="1" customWidth="1"/>
  </cols>
  <sheetData>
    <row r="1" spans="2:9" ht="24" customHeight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>
      <c r="I2">
        <v>700</v>
      </c>
    </row>
    <row r="3" spans="2:9">
      <c r="B3">
        <v>8859513712281</v>
      </c>
      <c r="C3" t="s">
        <v>8</v>
      </c>
      <c r="D3" t="s">
        <v>9</v>
      </c>
      <c r="E3">
        <v>20</v>
      </c>
      <c r="F3" t="s">
        <v>4</v>
      </c>
      <c r="G3">
        <v>99</v>
      </c>
      <c r="H3" t="s">
        <v>10</v>
      </c>
    </row>
    <row r="4" spans="2:9">
      <c r="B4">
        <v>8859513712274</v>
      </c>
      <c r="C4" t="s">
        <v>11</v>
      </c>
      <c r="D4" t="s">
        <v>9</v>
      </c>
      <c r="E4">
        <v>35.714199999999998</v>
      </c>
      <c r="F4" t="s">
        <v>4</v>
      </c>
      <c r="G4">
        <v>99</v>
      </c>
      <c r="H4" t="s">
        <v>10</v>
      </c>
    </row>
    <row r="5" spans="2:9">
      <c r="B5">
        <v>8859513712267</v>
      </c>
      <c r="C5" t="s">
        <v>12</v>
      </c>
      <c r="D5" t="s">
        <v>9</v>
      </c>
      <c r="E5">
        <v>50</v>
      </c>
      <c r="F5" t="s">
        <v>4</v>
      </c>
      <c r="G5">
        <v>98</v>
      </c>
      <c r="H5" t="s">
        <v>10</v>
      </c>
    </row>
    <row r="6" spans="2:9">
      <c r="B6">
        <v>8859513712250</v>
      </c>
      <c r="C6" t="s">
        <v>13</v>
      </c>
      <c r="D6" t="s">
        <v>9</v>
      </c>
      <c r="E6">
        <v>80</v>
      </c>
      <c r="F6" t="s">
        <v>4</v>
      </c>
      <c r="G6">
        <v>100</v>
      </c>
      <c r="H6" t="s">
        <v>10</v>
      </c>
    </row>
    <row r="7" spans="2:9">
      <c r="B7">
        <v>8858721530588</v>
      </c>
      <c r="C7" t="s">
        <v>14</v>
      </c>
      <c r="D7" t="s">
        <v>15</v>
      </c>
      <c r="E7">
        <v>7000</v>
      </c>
      <c r="G7">
        <v>98</v>
      </c>
      <c r="H7" t="s">
        <v>16</v>
      </c>
    </row>
    <row r="8" spans="2:9">
      <c r="B8">
        <v>8858721538935</v>
      </c>
      <c r="C8" t="s">
        <v>17</v>
      </c>
      <c r="D8" t="s">
        <v>15</v>
      </c>
      <c r="E8">
        <v>15000</v>
      </c>
      <c r="G8">
        <v>99</v>
      </c>
      <c r="H8" t="s">
        <v>16</v>
      </c>
    </row>
    <row r="9" spans="2:9">
      <c r="B9" t="s">
        <v>18</v>
      </c>
      <c r="C9" t="s">
        <v>19</v>
      </c>
      <c r="D9" t="s">
        <v>15</v>
      </c>
      <c r="E9">
        <v>20000</v>
      </c>
      <c r="G9">
        <v>99</v>
      </c>
      <c r="H9" t="s">
        <v>16</v>
      </c>
    </row>
    <row r="10" spans="2:9">
      <c r="B10">
        <v>8858721530397</v>
      </c>
      <c r="C10" t="s">
        <v>20</v>
      </c>
      <c r="D10" t="s">
        <v>15</v>
      </c>
      <c r="E10">
        <v>6000</v>
      </c>
      <c r="G10">
        <v>93</v>
      </c>
      <c r="H10" t="s">
        <v>16</v>
      </c>
    </row>
    <row r="11" spans="2:9">
      <c r="B11">
        <v>8858721532124</v>
      </c>
      <c r="C11" t="s">
        <v>21</v>
      </c>
      <c r="D11" t="s">
        <v>15</v>
      </c>
      <c r="E11">
        <v>30</v>
      </c>
      <c r="F11" t="s">
        <v>4</v>
      </c>
      <c r="G11">
        <v>100</v>
      </c>
      <c r="H11" t="s">
        <v>16</v>
      </c>
    </row>
    <row r="12" spans="2:9">
      <c r="B12">
        <v>8858721531189</v>
      </c>
      <c r="C12" t="s">
        <v>22</v>
      </c>
      <c r="D12" t="s">
        <v>15</v>
      </c>
      <c r="E12">
        <v>7000</v>
      </c>
      <c r="G12">
        <v>100</v>
      </c>
      <c r="H12" t="s">
        <v>16</v>
      </c>
    </row>
    <row r="13" spans="2:9">
      <c r="B13">
        <v>8858721530014</v>
      </c>
      <c r="C13" t="s">
        <v>23</v>
      </c>
      <c r="D13" t="s">
        <v>15</v>
      </c>
      <c r="E13">
        <v>6000</v>
      </c>
      <c r="G13">
        <v>99</v>
      </c>
      <c r="H13" t="s">
        <v>16</v>
      </c>
    </row>
    <row r="14" spans="2:9">
      <c r="B14" t="s">
        <v>24</v>
      </c>
      <c r="C14" t="s">
        <v>25</v>
      </c>
      <c r="D14" t="s">
        <v>15</v>
      </c>
      <c r="E14">
        <v>7000</v>
      </c>
      <c r="G14">
        <v>100</v>
      </c>
      <c r="H14" t="s">
        <v>16</v>
      </c>
    </row>
    <row r="15" spans="2:9">
      <c r="B15" t="s">
        <v>26</v>
      </c>
      <c r="C15" t="s">
        <v>27</v>
      </c>
      <c r="D15" t="s">
        <v>15</v>
      </c>
      <c r="E15">
        <v>30000</v>
      </c>
      <c r="G15">
        <v>100</v>
      </c>
      <c r="H15" t="s">
        <v>16</v>
      </c>
    </row>
    <row r="16" spans="2:9">
      <c r="B16">
        <v>8858721531332</v>
      </c>
      <c r="C16" t="s">
        <v>28</v>
      </c>
      <c r="D16" t="s">
        <v>15</v>
      </c>
      <c r="E16">
        <v>7000</v>
      </c>
      <c r="G16">
        <v>99</v>
      </c>
      <c r="H16" t="s">
        <v>16</v>
      </c>
    </row>
    <row r="17" spans="2:8">
      <c r="B17">
        <v>8858721531387</v>
      </c>
      <c r="C17" t="s">
        <v>29</v>
      </c>
      <c r="D17" t="s">
        <v>15</v>
      </c>
      <c r="E17">
        <v>50</v>
      </c>
      <c r="F17" t="s">
        <v>4</v>
      </c>
      <c r="G17">
        <v>100</v>
      </c>
      <c r="H17" t="s">
        <v>16</v>
      </c>
    </row>
    <row r="18" spans="2:8">
      <c r="B18">
        <v>8859530003010</v>
      </c>
      <c r="C18" t="s">
        <v>30</v>
      </c>
      <c r="D18" t="s">
        <v>15</v>
      </c>
      <c r="E18">
        <f>16+14</f>
        <v>30</v>
      </c>
      <c r="F18" t="s">
        <v>4</v>
      </c>
      <c r="G18">
        <v>100</v>
      </c>
      <c r="H18" t="s">
        <v>16</v>
      </c>
    </row>
    <row r="19" spans="2:8">
      <c r="B19">
        <v>8858721533824</v>
      </c>
      <c r="C19" t="s">
        <v>31</v>
      </c>
      <c r="D19" t="s">
        <v>15</v>
      </c>
      <c r="E19">
        <f>31+14</f>
        <v>45</v>
      </c>
      <c r="F19" t="s">
        <v>4</v>
      </c>
      <c r="G19">
        <v>100</v>
      </c>
      <c r="H19" t="s">
        <v>16</v>
      </c>
    </row>
    <row r="20" spans="2:8">
      <c r="B20" t="s">
        <v>32</v>
      </c>
      <c r="C20" t="s">
        <v>33</v>
      </c>
      <c r="D20" t="s">
        <v>34</v>
      </c>
      <c r="E20">
        <v>20000</v>
      </c>
      <c r="G20">
        <v>100</v>
      </c>
      <c r="H20" t="s">
        <v>35</v>
      </c>
    </row>
    <row r="21" spans="2:8">
      <c r="B21" t="s">
        <v>36</v>
      </c>
      <c r="C21" t="s">
        <v>37</v>
      </c>
      <c r="D21" t="s">
        <v>38</v>
      </c>
      <c r="E21">
        <v>15000</v>
      </c>
      <c r="G21">
        <v>100</v>
      </c>
      <c r="H21" t="s">
        <v>39</v>
      </c>
    </row>
    <row r="22" spans="2:8">
      <c r="B22" t="s">
        <v>40</v>
      </c>
      <c r="C22" t="s">
        <v>41</v>
      </c>
      <c r="D22" t="s">
        <v>38</v>
      </c>
      <c r="E22">
        <v>10000</v>
      </c>
      <c r="G22">
        <v>100</v>
      </c>
      <c r="H22" t="s">
        <v>39</v>
      </c>
    </row>
    <row r="23" spans="2:8">
      <c r="B23" t="s">
        <v>42</v>
      </c>
      <c r="C23" t="s">
        <v>43</v>
      </c>
      <c r="D23" t="s">
        <v>38</v>
      </c>
      <c r="E23">
        <v>130</v>
      </c>
      <c r="F23" t="s">
        <v>4</v>
      </c>
      <c r="G23">
        <v>100</v>
      </c>
      <c r="H23" t="s">
        <v>44</v>
      </c>
    </row>
    <row r="24" spans="2:8">
      <c r="B24" t="s">
        <v>45</v>
      </c>
      <c r="C24" t="s">
        <v>46</v>
      </c>
      <c r="D24" t="s">
        <v>38</v>
      </c>
      <c r="E24">
        <v>100</v>
      </c>
      <c r="F24" t="s">
        <v>4</v>
      </c>
      <c r="G24">
        <v>100</v>
      </c>
      <c r="H24" t="s">
        <v>44</v>
      </c>
    </row>
    <row r="25" spans="2:8">
      <c r="B25" t="s">
        <v>47</v>
      </c>
      <c r="C25" t="s">
        <v>48</v>
      </c>
      <c r="D25" t="s">
        <v>38</v>
      </c>
      <c r="E25">
        <v>100</v>
      </c>
      <c r="F25" t="s">
        <v>4</v>
      </c>
      <c r="G25">
        <v>100</v>
      </c>
      <c r="H25" t="s">
        <v>49</v>
      </c>
    </row>
    <row r="26" spans="2:8">
      <c r="B26" t="s">
        <v>50</v>
      </c>
      <c r="C26" t="s">
        <v>51</v>
      </c>
      <c r="D26" t="s">
        <v>38</v>
      </c>
      <c r="E26">
        <v>70</v>
      </c>
      <c r="F26" t="s">
        <v>4</v>
      </c>
      <c r="G26">
        <v>100</v>
      </c>
      <c r="H26" t="s">
        <v>49</v>
      </c>
    </row>
    <row r="27" spans="2:8">
      <c r="B27">
        <v>8859524902169</v>
      </c>
      <c r="C27" t="s">
        <v>52</v>
      </c>
      <c r="D27" t="s">
        <v>38</v>
      </c>
      <c r="E27">
        <v>140000</v>
      </c>
      <c r="G27">
        <v>100</v>
      </c>
      <c r="H27" t="s">
        <v>53</v>
      </c>
    </row>
    <row r="28" spans="2:8">
      <c r="B28">
        <v>6925582190540</v>
      </c>
      <c r="C28" t="s">
        <v>54</v>
      </c>
      <c r="D28" t="s">
        <v>38</v>
      </c>
      <c r="E28">
        <v>140</v>
      </c>
      <c r="F28" t="s">
        <v>4</v>
      </c>
      <c r="G28">
        <v>100</v>
      </c>
      <c r="H28" t="s">
        <v>55</v>
      </c>
    </row>
    <row r="29" spans="2:8">
      <c r="B29">
        <v>6925582161397</v>
      </c>
      <c r="C29" t="s">
        <v>56</v>
      </c>
      <c r="D29" t="s">
        <v>38</v>
      </c>
      <c r="E29">
        <v>80</v>
      </c>
      <c r="F29" t="s">
        <v>4</v>
      </c>
      <c r="G29">
        <v>100</v>
      </c>
      <c r="H29" t="s">
        <v>55</v>
      </c>
    </row>
    <row r="30" spans="2:8">
      <c r="B30" t="s">
        <v>57</v>
      </c>
      <c r="C30" t="s">
        <v>58</v>
      </c>
      <c r="D30" t="s">
        <v>38</v>
      </c>
      <c r="E30">
        <v>50000</v>
      </c>
      <c r="G30">
        <v>100</v>
      </c>
      <c r="H30" t="s">
        <v>55</v>
      </c>
    </row>
    <row r="31" spans="2:8">
      <c r="B31">
        <v>6925582154696</v>
      </c>
      <c r="C31" t="s">
        <v>59</v>
      </c>
      <c r="D31" t="s">
        <v>38</v>
      </c>
      <c r="E31">
        <v>10000</v>
      </c>
      <c r="G31">
        <v>100</v>
      </c>
      <c r="H31" t="s">
        <v>16</v>
      </c>
    </row>
    <row r="32" spans="2:8">
      <c r="B32" t="s">
        <v>60</v>
      </c>
      <c r="C32" t="s">
        <v>61</v>
      </c>
      <c r="D32" t="s">
        <v>38</v>
      </c>
      <c r="E32">
        <v>20000</v>
      </c>
      <c r="G32">
        <v>100</v>
      </c>
      <c r="H32" t="s">
        <v>53</v>
      </c>
    </row>
    <row r="33" spans="2:8">
      <c r="B33" t="s">
        <v>62</v>
      </c>
      <c r="C33" t="s">
        <v>63</v>
      </c>
      <c r="D33" t="s">
        <v>38</v>
      </c>
      <c r="E33">
        <v>20000</v>
      </c>
      <c r="G33">
        <v>100</v>
      </c>
      <c r="H33" t="s">
        <v>53</v>
      </c>
    </row>
    <row r="34" spans="2:8">
      <c r="B34" t="s">
        <v>64</v>
      </c>
      <c r="C34" t="s">
        <v>65</v>
      </c>
      <c r="D34" t="s">
        <v>38</v>
      </c>
      <c r="E34">
        <v>20000</v>
      </c>
      <c r="G34">
        <v>100</v>
      </c>
      <c r="H34" t="s">
        <v>53</v>
      </c>
    </row>
    <row r="35" spans="2:8">
      <c r="B35" t="s">
        <v>66</v>
      </c>
      <c r="C35" t="s">
        <v>67</v>
      </c>
      <c r="D35" t="s">
        <v>38</v>
      </c>
      <c r="E35">
        <v>20000</v>
      </c>
      <c r="G35">
        <v>100</v>
      </c>
      <c r="H35" t="s">
        <v>53</v>
      </c>
    </row>
    <row r="36" spans="2:8">
      <c r="B36">
        <v>6925582179057</v>
      </c>
      <c r="C36" t="s">
        <v>68</v>
      </c>
      <c r="D36" t="s">
        <v>38</v>
      </c>
      <c r="E36">
        <v>150</v>
      </c>
      <c r="F36" t="s">
        <v>4</v>
      </c>
      <c r="G36">
        <v>100</v>
      </c>
      <c r="H36" t="s">
        <v>16</v>
      </c>
    </row>
    <row r="37" spans="2:8">
      <c r="B37">
        <v>6925582198195</v>
      </c>
      <c r="C37" t="s">
        <v>69</v>
      </c>
      <c r="D37" t="s">
        <v>38</v>
      </c>
      <c r="E37">
        <v>60</v>
      </c>
      <c r="F37" t="s">
        <v>4</v>
      </c>
      <c r="G37">
        <v>100</v>
      </c>
      <c r="H37" t="s">
        <v>16</v>
      </c>
    </row>
    <row r="38" spans="2:8">
      <c r="B38">
        <v>6925582176599</v>
      </c>
      <c r="C38" t="s">
        <v>70</v>
      </c>
      <c r="D38" t="s">
        <v>38</v>
      </c>
      <c r="E38">
        <v>120</v>
      </c>
      <c r="F38" t="s">
        <v>4</v>
      </c>
      <c r="G38">
        <v>100</v>
      </c>
      <c r="H38" t="s">
        <v>16</v>
      </c>
    </row>
    <row r="39" spans="2:8">
      <c r="B39" t="s">
        <v>71</v>
      </c>
      <c r="C39" t="s">
        <v>72</v>
      </c>
      <c r="D39" t="s">
        <v>38</v>
      </c>
      <c r="E39">
        <v>150</v>
      </c>
      <c r="F39" t="s">
        <v>4</v>
      </c>
      <c r="G39">
        <v>100</v>
      </c>
      <c r="H39" t="s">
        <v>44</v>
      </c>
    </row>
    <row r="40" spans="2:8">
      <c r="B40">
        <v>8859513700066</v>
      </c>
      <c r="C40" t="s">
        <v>73</v>
      </c>
      <c r="D40" t="s">
        <v>74</v>
      </c>
      <c r="E40">
        <f>748000/12+17667</f>
        <v>80000.333333333343</v>
      </c>
      <c r="G40">
        <v>100</v>
      </c>
      <c r="H40" t="s">
        <v>75</v>
      </c>
    </row>
    <row r="41" spans="2:8">
      <c r="B41">
        <v>8851193125221</v>
      </c>
      <c r="C41" t="s">
        <v>76</v>
      </c>
      <c r="D41" t="s">
        <v>74</v>
      </c>
      <c r="E41">
        <f>788000/4+28000</f>
        <v>225000</v>
      </c>
      <c r="G41">
        <v>100</v>
      </c>
      <c r="H41" t="s">
        <v>77</v>
      </c>
    </row>
    <row r="42" spans="2:8">
      <c r="B42">
        <v>8858776905928</v>
      </c>
      <c r="C42" t="s">
        <v>78</v>
      </c>
      <c r="D42" t="s">
        <v>74</v>
      </c>
      <c r="E42">
        <f>718000/12+15167</f>
        <v>75000.333333333343</v>
      </c>
      <c r="G42">
        <v>100</v>
      </c>
      <c r="H42" t="s">
        <v>75</v>
      </c>
    </row>
    <row r="43" spans="2:8">
      <c r="B43">
        <v>8851193010787</v>
      </c>
      <c r="C43" t="s">
        <v>79</v>
      </c>
      <c r="D43" t="s">
        <v>74</v>
      </c>
      <c r="E43">
        <f>768000/4+18000</f>
        <v>210000</v>
      </c>
      <c r="G43">
        <v>100</v>
      </c>
      <c r="H43" t="s">
        <v>10</v>
      </c>
    </row>
    <row r="44" spans="2:8">
      <c r="C44" t="s">
        <v>80</v>
      </c>
      <c r="D44" t="s">
        <v>74</v>
      </c>
      <c r="E44">
        <f>848000/6+18667</f>
        <v>160000.33333333334</v>
      </c>
      <c r="G44">
        <v>100</v>
      </c>
      <c r="H44" t="s">
        <v>10</v>
      </c>
    </row>
    <row r="45" spans="2:8">
      <c r="B45">
        <v>8859513710850</v>
      </c>
      <c r="C45" t="s">
        <v>81</v>
      </c>
      <c r="D45" t="s">
        <v>74</v>
      </c>
      <c r="E45">
        <f>428000/12+9333</f>
        <v>44999.666666666664</v>
      </c>
      <c r="G45">
        <v>99</v>
      </c>
      <c r="H45" t="s">
        <v>82</v>
      </c>
    </row>
    <row r="46" spans="2:8">
      <c r="B46">
        <v>8859423318429</v>
      </c>
      <c r="C46" t="s">
        <v>83</v>
      </c>
      <c r="D46" t="s">
        <v>74</v>
      </c>
      <c r="E46">
        <v>110000</v>
      </c>
      <c r="G46">
        <v>100</v>
      </c>
      <c r="H46" t="s">
        <v>77</v>
      </c>
    </row>
    <row r="47" spans="2:8">
      <c r="B47">
        <v>8891193175178</v>
      </c>
      <c r="C47" t="s">
        <v>84</v>
      </c>
      <c r="D47" t="s">
        <v>74</v>
      </c>
      <c r="E47">
        <f>688000/6+15333</f>
        <v>129999.66666666667</v>
      </c>
      <c r="G47">
        <v>100</v>
      </c>
      <c r="H47" t="s">
        <v>77</v>
      </c>
    </row>
    <row r="48" spans="2:8">
      <c r="B48">
        <v>8851193000252</v>
      </c>
      <c r="C48" t="s">
        <v>85</v>
      </c>
      <c r="D48" t="s">
        <v>74</v>
      </c>
      <c r="E48">
        <f>768000/6+22000</f>
        <v>150000</v>
      </c>
      <c r="G48">
        <v>100</v>
      </c>
      <c r="H48" t="s">
        <v>10</v>
      </c>
    </row>
    <row r="49" spans="2:8">
      <c r="B49">
        <v>8858776961672</v>
      </c>
      <c r="C49" t="s">
        <v>86</v>
      </c>
      <c r="D49" t="s">
        <v>74</v>
      </c>
      <c r="E49">
        <v>90000</v>
      </c>
      <c r="G49">
        <v>100</v>
      </c>
      <c r="H49" t="s">
        <v>10</v>
      </c>
    </row>
    <row r="50" spans="2:8">
      <c r="B50">
        <v>8859513711796</v>
      </c>
      <c r="C50" t="s">
        <v>87</v>
      </c>
      <c r="D50" t="s">
        <v>74</v>
      </c>
      <c r="E50">
        <v>40000</v>
      </c>
      <c r="G50">
        <v>100</v>
      </c>
      <c r="H50" t="s">
        <v>10</v>
      </c>
    </row>
    <row r="51" spans="2:8">
      <c r="B51">
        <v>8858776944491</v>
      </c>
      <c r="C51" t="s">
        <v>88</v>
      </c>
      <c r="D51" t="s">
        <v>74</v>
      </c>
      <c r="E51">
        <f>1380000/6+40000</f>
        <v>270000</v>
      </c>
      <c r="G51">
        <v>99</v>
      </c>
      <c r="H51" t="s">
        <v>77</v>
      </c>
    </row>
    <row r="52" spans="2:8">
      <c r="B52">
        <v>8858776945016</v>
      </c>
      <c r="C52" t="s">
        <v>89</v>
      </c>
      <c r="D52" t="s">
        <v>74</v>
      </c>
      <c r="E52">
        <v>90000</v>
      </c>
      <c r="G52">
        <v>100</v>
      </c>
      <c r="H52" t="s">
        <v>75</v>
      </c>
    </row>
    <row r="53" spans="2:8">
      <c r="B53">
        <v>8859513710263</v>
      </c>
      <c r="C53" t="s">
        <v>90</v>
      </c>
      <c r="D53" t="s">
        <v>74</v>
      </c>
      <c r="E53">
        <f>1748000/6+18667</f>
        <v>310000.33333333331</v>
      </c>
      <c r="G53">
        <v>99</v>
      </c>
      <c r="H53" t="s">
        <v>10</v>
      </c>
    </row>
    <row r="54" spans="2:8">
      <c r="B54" t="s">
        <v>91</v>
      </c>
      <c r="C54" t="s">
        <v>92</v>
      </c>
      <c r="D54" t="s">
        <v>93</v>
      </c>
      <c r="E54">
        <v>24000</v>
      </c>
      <c r="G54">
        <v>100</v>
      </c>
      <c r="H54" t="s">
        <v>35</v>
      </c>
    </row>
    <row r="55" spans="2:8">
      <c r="B55" t="s">
        <v>94</v>
      </c>
      <c r="C55" t="s">
        <v>95</v>
      </c>
      <c r="D55" t="s">
        <v>93</v>
      </c>
      <c r="E55">
        <v>33000</v>
      </c>
      <c r="G55">
        <v>100</v>
      </c>
      <c r="H55" t="s">
        <v>35</v>
      </c>
    </row>
    <row r="56" spans="2:8">
      <c r="B56" t="s">
        <v>96</v>
      </c>
      <c r="C56" t="s">
        <v>97</v>
      </c>
      <c r="D56" t="s">
        <v>93</v>
      </c>
      <c r="E56">
        <v>7000</v>
      </c>
      <c r="G56">
        <v>100</v>
      </c>
      <c r="H56" t="s">
        <v>35</v>
      </c>
    </row>
    <row r="57" spans="2:8">
      <c r="B57" t="s">
        <v>98</v>
      </c>
      <c r="C57" t="s">
        <v>99</v>
      </c>
      <c r="D57" t="s">
        <v>93</v>
      </c>
      <c r="E57">
        <v>10000</v>
      </c>
      <c r="G57">
        <v>100</v>
      </c>
      <c r="H57" t="s">
        <v>35</v>
      </c>
    </row>
    <row r="58" spans="2:8">
      <c r="B58" t="s">
        <v>100</v>
      </c>
      <c r="C58" t="s">
        <v>101</v>
      </c>
      <c r="D58" t="s">
        <v>93</v>
      </c>
      <c r="E58">
        <v>13000</v>
      </c>
      <c r="G58">
        <v>100</v>
      </c>
      <c r="H58" t="s">
        <v>35</v>
      </c>
    </row>
    <row r="59" spans="2:8">
      <c r="B59" t="s">
        <v>102</v>
      </c>
      <c r="C59" t="s">
        <v>103</v>
      </c>
      <c r="D59" t="s">
        <v>93</v>
      </c>
      <c r="E59">
        <v>18000</v>
      </c>
      <c r="G59">
        <v>100</v>
      </c>
      <c r="H59" t="s">
        <v>35</v>
      </c>
    </row>
    <row r="60" spans="2:8">
      <c r="B60" t="s">
        <v>104</v>
      </c>
      <c r="C60" t="s">
        <v>105</v>
      </c>
      <c r="D60" t="s">
        <v>93</v>
      </c>
      <c r="E60">
        <v>25000</v>
      </c>
      <c r="G60">
        <v>100</v>
      </c>
      <c r="H60" t="s">
        <v>35</v>
      </c>
    </row>
    <row r="61" spans="2:8">
      <c r="B61" t="s">
        <v>106</v>
      </c>
      <c r="C61" t="s">
        <v>107</v>
      </c>
      <c r="D61" t="s">
        <v>93</v>
      </c>
      <c r="E61">
        <v>7000</v>
      </c>
      <c r="G61">
        <v>100</v>
      </c>
      <c r="H61" t="s">
        <v>35</v>
      </c>
    </row>
    <row r="62" spans="2:8">
      <c r="B62">
        <v>8859513704293</v>
      </c>
      <c r="C62" t="s">
        <v>108</v>
      </c>
      <c r="D62" t="s">
        <v>109</v>
      </c>
      <c r="E62">
        <v>310000</v>
      </c>
      <c r="G62">
        <v>100</v>
      </c>
      <c r="H62" t="s">
        <v>10</v>
      </c>
    </row>
    <row r="63" spans="2:8">
      <c r="B63">
        <v>8851193160116</v>
      </c>
      <c r="C63" t="s">
        <v>110</v>
      </c>
      <c r="D63" t="s">
        <v>109</v>
      </c>
      <c r="E63">
        <v>310000</v>
      </c>
      <c r="G63">
        <v>100</v>
      </c>
      <c r="H63" t="s">
        <v>10</v>
      </c>
    </row>
    <row r="64" spans="2:8">
      <c r="B64">
        <v>8859513704293</v>
      </c>
      <c r="C64" t="s">
        <v>111</v>
      </c>
      <c r="D64" t="s">
        <v>109</v>
      </c>
      <c r="E64">
        <v>310000</v>
      </c>
      <c r="G64">
        <v>100</v>
      </c>
      <c r="H64" t="s">
        <v>10</v>
      </c>
    </row>
    <row r="65" spans="2:8">
      <c r="B65">
        <v>8851193160116</v>
      </c>
      <c r="C65" t="s">
        <v>112</v>
      </c>
      <c r="D65" t="s">
        <v>109</v>
      </c>
      <c r="E65">
        <v>310000</v>
      </c>
      <c r="G65">
        <v>100</v>
      </c>
      <c r="H65" t="s">
        <v>10</v>
      </c>
    </row>
    <row r="66" spans="2:8">
      <c r="B66">
        <v>8851193160116</v>
      </c>
      <c r="C66" t="s">
        <v>113</v>
      </c>
      <c r="D66" t="s">
        <v>109</v>
      </c>
      <c r="E66">
        <v>310000</v>
      </c>
      <c r="G66">
        <v>100</v>
      </c>
      <c r="H66" t="s">
        <v>10</v>
      </c>
    </row>
    <row r="67" spans="2:8">
      <c r="B67" t="s">
        <v>114</v>
      </c>
      <c r="C67" t="s">
        <v>115</v>
      </c>
      <c r="D67" t="s">
        <v>109</v>
      </c>
      <c r="E67">
        <v>310000</v>
      </c>
      <c r="G67">
        <v>100</v>
      </c>
      <c r="H67" t="s">
        <v>10</v>
      </c>
    </row>
    <row r="68" spans="2:8">
      <c r="B68">
        <v>8850747802137</v>
      </c>
      <c r="C68" t="s">
        <v>116</v>
      </c>
      <c r="D68" t="s">
        <v>117</v>
      </c>
      <c r="E68">
        <v>30000</v>
      </c>
      <c r="G68">
        <v>100</v>
      </c>
      <c r="H68" t="s">
        <v>75</v>
      </c>
    </row>
    <row r="69" spans="2:8">
      <c r="B69">
        <v>8850747802151</v>
      </c>
      <c r="C69" t="s">
        <v>118</v>
      </c>
      <c r="D69" t="s">
        <v>117</v>
      </c>
      <c r="E69">
        <v>30000</v>
      </c>
      <c r="G69">
        <v>100</v>
      </c>
      <c r="H69" t="s">
        <v>75</v>
      </c>
    </row>
    <row r="70" spans="2:8">
      <c r="B70">
        <v>8850747802908</v>
      </c>
      <c r="C70" t="s">
        <v>119</v>
      </c>
      <c r="D70" t="s">
        <v>117</v>
      </c>
      <c r="E70">
        <v>30000</v>
      </c>
      <c r="G70">
        <v>100</v>
      </c>
      <c r="H70" t="s">
        <v>75</v>
      </c>
    </row>
    <row r="71" spans="2:8">
      <c r="B71">
        <v>8850747802236</v>
      </c>
      <c r="C71" t="s">
        <v>120</v>
      </c>
      <c r="D71" t="s">
        <v>117</v>
      </c>
      <c r="E71">
        <v>30000</v>
      </c>
      <c r="G71">
        <v>100</v>
      </c>
      <c r="H71" t="s">
        <v>75</v>
      </c>
    </row>
    <row r="72" spans="2:8">
      <c r="B72">
        <v>8850747802250</v>
      </c>
      <c r="C72" t="s">
        <v>121</v>
      </c>
      <c r="D72" t="s">
        <v>117</v>
      </c>
      <c r="E72">
        <v>30000</v>
      </c>
      <c r="G72">
        <v>100</v>
      </c>
      <c r="H72" t="s">
        <v>75</v>
      </c>
    </row>
    <row r="73" spans="2:8">
      <c r="B73">
        <v>8850747802304</v>
      </c>
      <c r="C73" t="s">
        <v>122</v>
      </c>
      <c r="D73" t="s">
        <v>117</v>
      </c>
      <c r="E73">
        <v>30000</v>
      </c>
      <c r="G73">
        <v>100</v>
      </c>
      <c r="H73" t="s">
        <v>75</v>
      </c>
    </row>
    <row r="74" spans="2:8">
      <c r="B74">
        <v>8850747872512</v>
      </c>
      <c r="C74" t="s">
        <v>123</v>
      </c>
      <c r="D74" t="s">
        <v>117</v>
      </c>
      <c r="E74">
        <v>50000</v>
      </c>
      <c r="G74">
        <v>100</v>
      </c>
      <c r="H74" t="s">
        <v>75</v>
      </c>
    </row>
    <row r="75" spans="2:8">
      <c r="B75">
        <v>8850747882368</v>
      </c>
      <c r="C75" t="s">
        <v>124</v>
      </c>
      <c r="D75" t="s">
        <v>117</v>
      </c>
      <c r="E75">
        <v>30000</v>
      </c>
      <c r="G75">
        <v>100</v>
      </c>
      <c r="H75" t="s">
        <v>75</v>
      </c>
    </row>
    <row r="76" spans="2:8">
      <c r="B76">
        <v>8850747802373</v>
      </c>
      <c r="C76" t="s">
        <v>125</v>
      </c>
      <c r="D76" t="s">
        <v>117</v>
      </c>
      <c r="E76">
        <v>30000</v>
      </c>
      <c r="G76">
        <v>100</v>
      </c>
      <c r="H76" t="s">
        <v>75</v>
      </c>
    </row>
    <row r="77" spans="2:8">
      <c r="B77">
        <v>8850747802045</v>
      </c>
      <c r="C77" t="s">
        <v>126</v>
      </c>
      <c r="D77" t="s">
        <v>117</v>
      </c>
      <c r="E77">
        <v>30000</v>
      </c>
      <c r="G77">
        <v>100</v>
      </c>
      <c r="H77" t="s">
        <v>75</v>
      </c>
    </row>
    <row r="78" spans="2:8">
      <c r="B78">
        <v>8850747802403</v>
      </c>
      <c r="C78" t="s">
        <v>127</v>
      </c>
      <c r="D78" t="s">
        <v>117</v>
      </c>
      <c r="E78">
        <v>30000</v>
      </c>
      <c r="G78">
        <v>100</v>
      </c>
      <c r="H78" t="s">
        <v>75</v>
      </c>
    </row>
    <row r="79" spans="2:8">
      <c r="B79">
        <v>8850747802458</v>
      </c>
      <c r="C79" t="s">
        <v>128</v>
      </c>
      <c r="D79" t="s">
        <v>117</v>
      </c>
      <c r="E79">
        <v>30000</v>
      </c>
      <c r="G79">
        <v>100</v>
      </c>
      <c r="H79" t="s">
        <v>75</v>
      </c>
    </row>
    <row r="80" spans="2:8">
      <c r="B80">
        <v>8855421048191</v>
      </c>
      <c r="C80" t="s">
        <v>129</v>
      </c>
      <c r="D80" t="s">
        <v>130</v>
      </c>
      <c r="E80">
        <f>212+58</f>
        <v>270</v>
      </c>
      <c r="F80" t="s">
        <v>4</v>
      </c>
      <c r="G80">
        <v>100</v>
      </c>
      <c r="H80" t="s">
        <v>75</v>
      </c>
    </row>
    <row r="81" spans="2:8">
      <c r="B81">
        <v>8855421049228</v>
      </c>
      <c r="C81" t="s">
        <v>131</v>
      </c>
      <c r="D81" t="s">
        <v>130</v>
      </c>
      <c r="E81">
        <f>600+100</f>
        <v>700</v>
      </c>
      <c r="F81" t="s">
        <v>4</v>
      </c>
      <c r="G81">
        <v>100</v>
      </c>
      <c r="H81" t="s">
        <v>75</v>
      </c>
    </row>
    <row r="82" spans="2:8">
      <c r="B82">
        <v>8855421000564</v>
      </c>
      <c r="C82" t="s">
        <v>132</v>
      </c>
      <c r="D82" t="s">
        <v>130</v>
      </c>
      <c r="E82">
        <v>160</v>
      </c>
      <c r="F82" t="s">
        <v>4</v>
      </c>
      <c r="G82">
        <v>100</v>
      </c>
      <c r="H82" t="s">
        <v>75</v>
      </c>
    </row>
    <row r="83" spans="2:8">
      <c r="B83" t="s">
        <v>133</v>
      </c>
      <c r="C83" t="s">
        <v>134</v>
      </c>
      <c r="D83" t="s">
        <v>130</v>
      </c>
      <c r="E83">
        <v>20</v>
      </c>
      <c r="F83" t="s">
        <v>4</v>
      </c>
      <c r="G83">
        <v>100</v>
      </c>
      <c r="H83" t="s">
        <v>16</v>
      </c>
    </row>
    <row r="84" spans="2:8">
      <c r="B84" t="s">
        <v>135</v>
      </c>
      <c r="C84" t="s">
        <v>136</v>
      </c>
      <c r="D84" t="s">
        <v>130</v>
      </c>
      <c r="E84">
        <v>30</v>
      </c>
      <c r="F84" t="s">
        <v>4</v>
      </c>
      <c r="G84">
        <v>100</v>
      </c>
      <c r="H84" t="s">
        <v>16</v>
      </c>
    </row>
    <row r="85" spans="2:8">
      <c r="B85" t="s">
        <v>137</v>
      </c>
      <c r="C85" t="s">
        <v>138</v>
      </c>
      <c r="D85" t="s">
        <v>130</v>
      </c>
      <c r="E85">
        <v>40</v>
      </c>
      <c r="F85" t="s">
        <v>4</v>
      </c>
      <c r="G85">
        <v>100</v>
      </c>
      <c r="H85" t="s">
        <v>16</v>
      </c>
    </row>
    <row r="86" spans="2:8">
      <c r="B86" t="s">
        <v>139</v>
      </c>
      <c r="C86" t="s">
        <v>140</v>
      </c>
      <c r="D86" t="s">
        <v>141</v>
      </c>
      <c r="E86">
        <v>1000</v>
      </c>
      <c r="F86" t="s">
        <v>4</v>
      </c>
      <c r="G86">
        <v>100</v>
      </c>
      <c r="H86" t="s">
        <v>142</v>
      </c>
    </row>
    <row r="87" spans="2:8">
      <c r="B87" t="s">
        <v>143</v>
      </c>
      <c r="C87" t="s">
        <v>144</v>
      </c>
      <c r="D87" t="s">
        <v>141</v>
      </c>
      <c r="E87">
        <v>650</v>
      </c>
      <c r="F87" t="s">
        <v>4</v>
      </c>
      <c r="G87">
        <v>100</v>
      </c>
      <c r="H87" t="s">
        <v>142</v>
      </c>
    </row>
    <row r="88" spans="2:8">
      <c r="B88" t="s">
        <v>145</v>
      </c>
      <c r="C88" t="s">
        <v>146</v>
      </c>
      <c r="D88" t="s">
        <v>141</v>
      </c>
      <c r="E88">
        <v>720</v>
      </c>
      <c r="F88" t="s">
        <v>4</v>
      </c>
      <c r="G88">
        <v>100</v>
      </c>
      <c r="H88" t="s">
        <v>142</v>
      </c>
    </row>
    <row r="89" spans="2:8">
      <c r="B89" t="s">
        <v>147</v>
      </c>
      <c r="C89" t="s">
        <v>148</v>
      </c>
      <c r="D89" t="s">
        <v>141</v>
      </c>
      <c r="E89">
        <v>500</v>
      </c>
      <c r="F89" t="s">
        <v>4</v>
      </c>
      <c r="G89">
        <v>100</v>
      </c>
      <c r="H89" t="s">
        <v>142</v>
      </c>
    </row>
    <row r="90" spans="2:8">
      <c r="B90" t="s">
        <v>149</v>
      </c>
      <c r="C90" t="s">
        <v>150</v>
      </c>
      <c r="D90" t="s">
        <v>151</v>
      </c>
      <c r="E90">
        <v>157</v>
      </c>
      <c r="F90" t="s">
        <v>4</v>
      </c>
      <c r="G90">
        <v>99</v>
      </c>
      <c r="H90" t="s">
        <v>75</v>
      </c>
    </row>
    <row r="91" spans="2:8">
      <c r="B91" t="s">
        <v>152</v>
      </c>
      <c r="C91" t="s">
        <v>153</v>
      </c>
      <c r="D91" t="s">
        <v>151</v>
      </c>
      <c r="E91">
        <v>380</v>
      </c>
      <c r="F91" t="s">
        <v>4</v>
      </c>
      <c r="G91">
        <v>100</v>
      </c>
      <c r="H91" t="s">
        <v>75</v>
      </c>
    </row>
    <row r="92" spans="2:8">
      <c r="B92" t="s">
        <v>154</v>
      </c>
      <c r="C92" t="s">
        <v>155</v>
      </c>
      <c r="D92" t="s">
        <v>156</v>
      </c>
      <c r="E92">
        <v>450000</v>
      </c>
      <c r="G92">
        <v>99</v>
      </c>
      <c r="H92" t="s">
        <v>157</v>
      </c>
    </row>
    <row r="93" spans="2:8">
      <c r="B93" t="s">
        <v>158</v>
      </c>
      <c r="C93" t="s">
        <v>159</v>
      </c>
      <c r="D93" t="s">
        <v>156</v>
      </c>
      <c r="E93">
        <f>1705000/20+4750</f>
        <v>90000</v>
      </c>
      <c r="G93">
        <v>100</v>
      </c>
      <c r="H93" t="s">
        <v>160</v>
      </c>
    </row>
    <row r="94" spans="2:8">
      <c r="B94" t="s">
        <v>161</v>
      </c>
      <c r="C94" t="s">
        <v>162</v>
      </c>
      <c r="D94" t="s">
        <v>156</v>
      </c>
      <c r="E94">
        <f>1705000+255000</f>
        <v>1960000</v>
      </c>
      <c r="G94">
        <v>97</v>
      </c>
      <c r="H94" t="s">
        <v>163</v>
      </c>
    </row>
    <row r="95" spans="2:8">
      <c r="B95" t="s">
        <v>164</v>
      </c>
      <c r="C95" t="s">
        <v>165</v>
      </c>
      <c r="D95" t="s">
        <v>156</v>
      </c>
      <c r="E95">
        <f>1630000/20+4500</f>
        <v>86000</v>
      </c>
      <c r="G95">
        <v>66</v>
      </c>
      <c r="H95" t="s">
        <v>160</v>
      </c>
    </row>
    <row r="96" spans="2:8">
      <c r="B96" t="s">
        <v>166</v>
      </c>
      <c r="C96" t="s">
        <v>167</v>
      </c>
      <c r="D96" t="s">
        <v>156</v>
      </c>
      <c r="E96">
        <f>1650000+250000</f>
        <v>1900000</v>
      </c>
      <c r="G96">
        <v>97</v>
      </c>
      <c r="H96" t="s">
        <v>163</v>
      </c>
    </row>
    <row r="97" spans="2:8">
      <c r="B97" t="s">
        <v>168</v>
      </c>
      <c r="C97" t="s">
        <v>169</v>
      </c>
      <c r="D97" t="s">
        <v>156</v>
      </c>
      <c r="E97">
        <f>1550000/20+5500</f>
        <v>83000</v>
      </c>
      <c r="G97">
        <v>200</v>
      </c>
      <c r="H97" t="s">
        <v>160</v>
      </c>
    </row>
    <row r="98" spans="2:8">
      <c r="B98" t="s">
        <v>170</v>
      </c>
      <c r="C98" t="s">
        <v>171</v>
      </c>
      <c r="D98" t="s">
        <v>156</v>
      </c>
      <c r="E98">
        <f>1550000+250000</f>
        <v>1800000</v>
      </c>
      <c r="G98">
        <v>91</v>
      </c>
      <c r="H98" t="s">
        <v>163</v>
      </c>
    </row>
    <row r="99" spans="2:8">
      <c r="B99" t="s">
        <v>172</v>
      </c>
      <c r="C99" t="s">
        <v>173</v>
      </c>
      <c r="D99" t="s">
        <v>156</v>
      </c>
      <c r="E99">
        <f>1820000/20+5000</f>
        <v>96000</v>
      </c>
      <c r="G99">
        <v>95</v>
      </c>
      <c r="H99" t="s">
        <v>160</v>
      </c>
    </row>
    <row r="100" spans="2:8">
      <c r="B100" t="s">
        <v>174</v>
      </c>
      <c r="C100" t="s">
        <v>175</v>
      </c>
      <c r="D100" t="s">
        <v>156</v>
      </c>
      <c r="E100">
        <f>1820000+250000</f>
        <v>2070000</v>
      </c>
      <c r="G100">
        <v>99</v>
      </c>
      <c r="H100" t="s">
        <v>163</v>
      </c>
    </row>
    <row r="101" spans="2:8">
      <c r="B101" t="s">
        <v>176</v>
      </c>
      <c r="C101" t="s">
        <v>177</v>
      </c>
      <c r="D101" t="s">
        <v>156</v>
      </c>
      <c r="E101">
        <f>1650000/20+5500</f>
        <v>88000</v>
      </c>
      <c r="G101">
        <v>200</v>
      </c>
      <c r="H101" t="s">
        <v>160</v>
      </c>
    </row>
    <row r="102" spans="2:8">
      <c r="B102" t="s">
        <v>178</v>
      </c>
      <c r="C102" t="s">
        <v>179</v>
      </c>
      <c r="D102" t="s">
        <v>156</v>
      </c>
      <c r="E102">
        <f>1650000+250000</f>
        <v>1900000</v>
      </c>
      <c r="G102">
        <v>92</v>
      </c>
      <c r="H102" t="s">
        <v>163</v>
      </c>
    </row>
    <row r="103" spans="2:8">
      <c r="B103" t="s">
        <v>180</v>
      </c>
      <c r="C103" t="s">
        <v>181</v>
      </c>
      <c r="D103" t="s">
        <v>156</v>
      </c>
      <c r="E103">
        <f>1715000/20+6250</f>
        <v>92000</v>
      </c>
      <c r="G103">
        <v>100</v>
      </c>
      <c r="H103" t="s">
        <v>160</v>
      </c>
    </row>
    <row r="104" spans="2:8">
      <c r="B104" t="s">
        <v>182</v>
      </c>
      <c r="C104" t="s">
        <v>183</v>
      </c>
      <c r="D104" t="s">
        <v>156</v>
      </c>
      <c r="E104">
        <f>1735000+265000</f>
        <v>2000000</v>
      </c>
      <c r="G104">
        <v>99</v>
      </c>
      <c r="H104" t="s">
        <v>163</v>
      </c>
    </row>
    <row r="105" spans="2:8">
      <c r="B105" t="s">
        <v>184</v>
      </c>
      <c r="C105" t="s">
        <v>185</v>
      </c>
      <c r="D105" t="s">
        <v>186</v>
      </c>
      <c r="G105">
        <v>100</v>
      </c>
      <c r="H105" t="s">
        <v>49</v>
      </c>
    </row>
    <row r="106" spans="2:8">
      <c r="B106" t="s">
        <v>187</v>
      </c>
      <c r="C106" t="s">
        <v>188</v>
      </c>
      <c r="D106" t="s">
        <v>186</v>
      </c>
      <c r="G106">
        <v>100</v>
      </c>
      <c r="H106" t="s">
        <v>49</v>
      </c>
    </row>
    <row r="107" spans="2:8">
      <c r="B107" t="s">
        <v>189</v>
      </c>
      <c r="C107" t="s">
        <v>190</v>
      </c>
      <c r="D107" t="s">
        <v>186</v>
      </c>
      <c r="G107">
        <v>0</v>
      </c>
      <c r="H107" t="s">
        <v>49</v>
      </c>
    </row>
    <row r="108" spans="2:8">
      <c r="B108" t="s">
        <v>191</v>
      </c>
      <c r="C108" t="s">
        <v>192</v>
      </c>
      <c r="D108" t="s">
        <v>186</v>
      </c>
      <c r="E108">
        <f>666/10*700</f>
        <v>46619.999999999993</v>
      </c>
      <c r="G108">
        <v>0</v>
      </c>
      <c r="H108" t="s">
        <v>49</v>
      </c>
    </row>
    <row r="109" spans="2:8">
      <c r="B109" t="s">
        <v>193</v>
      </c>
      <c r="C109" t="s">
        <v>194</v>
      </c>
      <c r="D109" t="s">
        <v>186</v>
      </c>
      <c r="E109">
        <f>804/10*700</f>
        <v>56280.000000000007</v>
      </c>
      <c r="G109">
        <v>0</v>
      </c>
      <c r="H109" t="s">
        <v>49</v>
      </c>
    </row>
    <row r="110" spans="2:8">
      <c r="B110" t="s">
        <v>195</v>
      </c>
      <c r="C110" t="s">
        <v>196</v>
      </c>
      <c r="D110" t="s">
        <v>186</v>
      </c>
      <c r="E110">
        <f>1206/10*700+10580</f>
        <v>95000</v>
      </c>
      <c r="G110">
        <v>100</v>
      </c>
      <c r="H110" t="s">
        <v>49</v>
      </c>
    </row>
    <row r="111" spans="2:8">
      <c r="B111" t="s">
        <v>197</v>
      </c>
      <c r="C111" t="s">
        <v>198</v>
      </c>
      <c r="D111" t="s">
        <v>186</v>
      </c>
      <c r="E111">
        <f>1960/10*700+12800</f>
        <v>150000</v>
      </c>
      <c r="G111">
        <v>100</v>
      </c>
      <c r="H111" t="s">
        <v>49</v>
      </c>
    </row>
    <row r="112" spans="2:8">
      <c r="B112" t="s">
        <v>199</v>
      </c>
      <c r="C112" t="s">
        <v>200</v>
      </c>
      <c r="D112" t="s">
        <v>186</v>
      </c>
      <c r="E112">
        <f>2663/10*700+13590</f>
        <v>200000</v>
      </c>
      <c r="G112">
        <v>100</v>
      </c>
      <c r="H112" t="s">
        <v>49</v>
      </c>
    </row>
    <row r="113" spans="2:8">
      <c r="B113" t="s">
        <v>201</v>
      </c>
      <c r="C113" t="s">
        <v>202</v>
      </c>
      <c r="D113" t="s">
        <v>186</v>
      </c>
      <c r="E113">
        <f>4271/10*700+21030</f>
        <v>320000</v>
      </c>
      <c r="G113">
        <v>100</v>
      </c>
      <c r="H113" t="s">
        <v>49</v>
      </c>
    </row>
    <row r="114" spans="2:8">
      <c r="B114" t="s">
        <v>203</v>
      </c>
      <c r="C114" t="s">
        <v>204</v>
      </c>
      <c r="D114" t="s">
        <v>186</v>
      </c>
      <c r="E114">
        <f>1058/25*700+10376</f>
        <v>40000</v>
      </c>
      <c r="G114">
        <v>99</v>
      </c>
      <c r="H114" t="s">
        <v>49</v>
      </c>
    </row>
    <row r="115" spans="2:8">
      <c r="B115" t="s">
        <v>205</v>
      </c>
      <c r="C115" t="s">
        <v>206</v>
      </c>
      <c r="D115" t="s">
        <v>186</v>
      </c>
      <c r="E115">
        <f>1330/25*700+10760</f>
        <v>48000</v>
      </c>
      <c r="G115">
        <v>100</v>
      </c>
      <c r="H115" t="s">
        <v>49</v>
      </c>
    </row>
    <row r="116" spans="2:8">
      <c r="B116" t="s">
        <v>207</v>
      </c>
      <c r="C116" t="s">
        <v>208</v>
      </c>
      <c r="D116" t="s">
        <v>186</v>
      </c>
      <c r="E116">
        <f>1759/25*700+10748</f>
        <v>60000</v>
      </c>
      <c r="G116">
        <v>99</v>
      </c>
      <c r="H116" t="s">
        <v>49</v>
      </c>
    </row>
    <row r="117" spans="2:8">
      <c r="B117" t="s">
        <v>209</v>
      </c>
      <c r="C117" t="s">
        <v>210</v>
      </c>
      <c r="D117" t="s">
        <v>186</v>
      </c>
      <c r="E117">
        <f>876/10*700+8680</f>
        <v>70000</v>
      </c>
      <c r="G117">
        <v>99</v>
      </c>
      <c r="H117" t="s">
        <v>49</v>
      </c>
    </row>
    <row r="118" spans="2:8">
      <c r="B118" t="s">
        <v>211</v>
      </c>
      <c r="C118" t="s">
        <v>212</v>
      </c>
      <c r="D118" t="s">
        <v>186</v>
      </c>
      <c r="E118">
        <f>1148/10*700+9640</f>
        <v>90000</v>
      </c>
      <c r="G118">
        <v>100</v>
      </c>
      <c r="H118" t="s">
        <v>49</v>
      </c>
    </row>
    <row r="119" spans="2:8">
      <c r="B119" t="s">
        <v>213</v>
      </c>
      <c r="C119" t="s">
        <v>214</v>
      </c>
      <c r="D119" t="s">
        <v>186</v>
      </c>
      <c r="E119">
        <f>1809/10*700+13370</f>
        <v>140000</v>
      </c>
      <c r="G119">
        <v>94</v>
      </c>
      <c r="H119" t="s">
        <v>49</v>
      </c>
    </row>
    <row r="120" spans="2:8">
      <c r="B120" t="s">
        <v>215</v>
      </c>
      <c r="C120" t="s">
        <v>216</v>
      </c>
      <c r="D120" t="s">
        <v>186</v>
      </c>
      <c r="E120">
        <f>2864/10*700+14520</f>
        <v>214999.99999999997</v>
      </c>
      <c r="G120">
        <v>100</v>
      </c>
      <c r="H120" t="s">
        <v>49</v>
      </c>
    </row>
    <row r="121" spans="2:8">
      <c r="B121" t="s">
        <v>217</v>
      </c>
      <c r="C121" t="s">
        <v>218</v>
      </c>
      <c r="D121" t="s">
        <v>186</v>
      </c>
      <c r="E121">
        <f>3970/10*700+22100</f>
        <v>300000</v>
      </c>
      <c r="G121">
        <v>100</v>
      </c>
      <c r="H121" t="s">
        <v>49</v>
      </c>
    </row>
    <row r="122" spans="2:8">
      <c r="B122" t="s">
        <v>219</v>
      </c>
      <c r="C122" t="s">
        <v>220</v>
      </c>
      <c r="D122" t="s">
        <v>186</v>
      </c>
      <c r="E122">
        <f>6432/10*700+29760</f>
        <v>480000.00000000006</v>
      </c>
      <c r="G122">
        <v>100</v>
      </c>
      <c r="H122" t="s">
        <v>49</v>
      </c>
    </row>
    <row r="123" spans="2:8">
      <c r="B123" t="s">
        <v>221</v>
      </c>
      <c r="C123" t="s">
        <v>222</v>
      </c>
      <c r="D123" t="s">
        <v>186</v>
      </c>
      <c r="G123">
        <v>0</v>
      </c>
      <c r="H123" t="s">
        <v>49</v>
      </c>
    </row>
    <row r="124" spans="2:8">
      <c r="B124" t="s">
        <v>223</v>
      </c>
      <c r="C124" t="s">
        <v>224</v>
      </c>
      <c r="D124" t="s">
        <v>186</v>
      </c>
      <c r="G124">
        <v>0</v>
      </c>
      <c r="H124" t="s">
        <v>49</v>
      </c>
    </row>
    <row r="125" spans="2:8">
      <c r="B125" t="s">
        <v>225</v>
      </c>
      <c r="C125" t="s">
        <v>226</v>
      </c>
      <c r="D125" t="s">
        <v>186</v>
      </c>
      <c r="G125">
        <v>0</v>
      </c>
      <c r="H125" t="s">
        <v>49</v>
      </c>
    </row>
    <row r="126" spans="2:8">
      <c r="B126" t="s">
        <v>227</v>
      </c>
      <c r="C126" t="s">
        <v>228</v>
      </c>
      <c r="D126" t="s">
        <v>186</v>
      </c>
      <c r="E126">
        <f>520/10*700+8600</f>
        <v>45000</v>
      </c>
      <c r="G126">
        <v>100</v>
      </c>
      <c r="H126" t="s">
        <v>49</v>
      </c>
    </row>
    <row r="127" spans="2:8">
      <c r="B127" t="s">
        <v>229</v>
      </c>
      <c r="C127" t="s">
        <v>230</v>
      </c>
      <c r="D127" t="s">
        <v>186</v>
      </c>
      <c r="E127">
        <f>603/10*700+9790</f>
        <v>52000</v>
      </c>
      <c r="G127">
        <v>100</v>
      </c>
      <c r="H127" t="s">
        <v>49</v>
      </c>
    </row>
    <row r="128" spans="2:8">
      <c r="B128" t="s">
        <v>231</v>
      </c>
      <c r="C128" t="s">
        <v>232</v>
      </c>
      <c r="D128" t="s">
        <v>186</v>
      </c>
      <c r="E128">
        <f>938/10*700+9340</f>
        <v>75000</v>
      </c>
      <c r="G128">
        <v>100</v>
      </c>
      <c r="H128" t="s">
        <v>49</v>
      </c>
    </row>
    <row r="129" spans="2:8">
      <c r="B129" t="s">
        <v>233</v>
      </c>
      <c r="C129" t="s">
        <v>234</v>
      </c>
      <c r="D129" t="s">
        <v>186</v>
      </c>
      <c r="E129">
        <f>1566/10*700+10380</f>
        <v>120000</v>
      </c>
      <c r="G129">
        <v>100</v>
      </c>
      <c r="H129" t="s">
        <v>49</v>
      </c>
    </row>
    <row r="130" spans="2:8">
      <c r="B130" t="s">
        <v>235</v>
      </c>
      <c r="C130" t="s">
        <v>236</v>
      </c>
      <c r="D130" t="s">
        <v>186</v>
      </c>
      <c r="E130">
        <f>1625/10*700+16250</f>
        <v>130000</v>
      </c>
      <c r="G130">
        <v>100</v>
      </c>
      <c r="H130" t="s">
        <v>49</v>
      </c>
    </row>
    <row r="131" spans="2:8">
      <c r="B131" t="s">
        <v>237</v>
      </c>
      <c r="C131" t="s">
        <v>238</v>
      </c>
      <c r="D131" t="s">
        <v>186</v>
      </c>
      <c r="E131">
        <f>2178/10*700+17540</f>
        <v>170000</v>
      </c>
      <c r="G131">
        <v>100</v>
      </c>
      <c r="H131" t="s">
        <v>49</v>
      </c>
    </row>
    <row r="132" spans="2:8">
      <c r="B132" t="s">
        <v>239</v>
      </c>
      <c r="C132" t="s">
        <v>240</v>
      </c>
      <c r="D132" t="s">
        <v>186</v>
      </c>
      <c r="E132">
        <f>817/25*700+9124</f>
        <v>32000</v>
      </c>
      <c r="G132">
        <v>100</v>
      </c>
      <c r="H132" t="s">
        <v>49</v>
      </c>
    </row>
    <row r="133" spans="2:8">
      <c r="B133" t="s">
        <v>241</v>
      </c>
      <c r="C133" t="s">
        <v>242</v>
      </c>
      <c r="D133" t="s">
        <v>186</v>
      </c>
      <c r="E133">
        <f>1047/25*700+10684</f>
        <v>40000</v>
      </c>
      <c r="G133">
        <v>100</v>
      </c>
      <c r="H133" t="s">
        <v>49</v>
      </c>
    </row>
    <row r="134" spans="2:8">
      <c r="B134" t="s">
        <v>243</v>
      </c>
      <c r="C134" t="s">
        <v>244</v>
      </c>
      <c r="D134" t="s">
        <v>186</v>
      </c>
      <c r="E134">
        <f>1382/25*700+11304</f>
        <v>50000</v>
      </c>
      <c r="G134">
        <v>100</v>
      </c>
      <c r="H134" t="s">
        <v>49</v>
      </c>
    </row>
    <row r="135" spans="2:8">
      <c r="B135" t="s">
        <v>245</v>
      </c>
      <c r="C135" t="s">
        <v>246</v>
      </c>
      <c r="D135" t="s">
        <v>186</v>
      </c>
      <c r="E135">
        <f>664/10*700+8520</f>
        <v>55000.000000000007</v>
      </c>
      <c r="G135">
        <v>100</v>
      </c>
      <c r="H135" t="s">
        <v>49</v>
      </c>
    </row>
    <row r="136" spans="2:8">
      <c r="B136" t="s">
        <v>247</v>
      </c>
      <c r="C136" t="s">
        <v>248</v>
      </c>
      <c r="D136" t="s">
        <v>186</v>
      </c>
      <c r="E136">
        <f>938/10*700+9340</f>
        <v>75000</v>
      </c>
      <c r="G136">
        <v>100</v>
      </c>
      <c r="H136" t="s">
        <v>49</v>
      </c>
    </row>
    <row r="137" spans="2:8">
      <c r="B137" t="s">
        <v>249</v>
      </c>
      <c r="C137" t="s">
        <v>250</v>
      </c>
      <c r="D137" t="s">
        <v>186</v>
      </c>
      <c r="E137">
        <f>1324/10*700+12320</f>
        <v>105000</v>
      </c>
      <c r="G137">
        <v>100</v>
      </c>
      <c r="H137" t="s">
        <v>49</v>
      </c>
    </row>
    <row r="138" spans="2:8">
      <c r="B138" t="s">
        <v>251</v>
      </c>
      <c r="C138" t="s">
        <v>252</v>
      </c>
      <c r="D138" t="s">
        <v>186</v>
      </c>
      <c r="E138">
        <f>2412/10*700+11160</f>
        <v>180000</v>
      </c>
      <c r="G138">
        <v>100</v>
      </c>
      <c r="H138" t="s">
        <v>49</v>
      </c>
    </row>
    <row r="139" spans="2:8">
      <c r="B139" t="s">
        <v>253</v>
      </c>
      <c r="C139" t="s">
        <v>254</v>
      </c>
      <c r="D139" t="s">
        <v>186</v>
      </c>
      <c r="E139">
        <f>2789/10*700+14770</f>
        <v>209999.99999999997</v>
      </c>
      <c r="G139">
        <v>100</v>
      </c>
      <c r="H139" t="s">
        <v>49</v>
      </c>
    </row>
    <row r="140" spans="2:8">
      <c r="B140" t="s">
        <v>255</v>
      </c>
      <c r="C140" t="s">
        <v>256</v>
      </c>
      <c r="D140" t="s">
        <v>186</v>
      </c>
      <c r="E140">
        <f>3987/10*700+20910</f>
        <v>300000</v>
      </c>
      <c r="G140">
        <v>100</v>
      </c>
      <c r="H140" t="s">
        <v>49</v>
      </c>
    </row>
    <row r="141" spans="2:8">
      <c r="B141" t="s">
        <v>257</v>
      </c>
      <c r="C141" t="s">
        <v>258</v>
      </c>
      <c r="D141" t="s">
        <v>186</v>
      </c>
      <c r="E141">
        <f>1334/50*700+6324</f>
        <v>25000</v>
      </c>
      <c r="G141">
        <v>100</v>
      </c>
      <c r="H141" t="s">
        <v>49</v>
      </c>
    </row>
    <row r="142" spans="2:8">
      <c r="B142" t="s">
        <v>259</v>
      </c>
      <c r="C142" t="s">
        <v>260</v>
      </c>
      <c r="D142" t="s">
        <v>186</v>
      </c>
      <c r="E142">
        <f>883/25*700+5276</f>
        <v>30000</v>
      </c>
      <c r="G142">
        <v>100</v>
      </c>
      <c r="H142" t="s">
        <v>49</v>
      </c>
    </row>
    <row r="143" spans="2:8">
      <c r="B143" t="s">
        <v>261</v>
      </c>
      <c r="C143" t="s">
        <v>262</v>
      </c>
      <c r="D143" t="s">
        <v>186</v>
      </c>
      <c r="E143">
        <f>1099/25*700+4228</f>
        <v>35000</v>
      </c>
      <c r="G143">
        <v>100</v>
      </c>
      <c r="H143" t="s">
        <v>49</v>
      </c>
    </row>
    <row r="144" spans="2:8">
      <c r="B144" t="s">
        <v>263</v>
      </c>
      <c r="C144" t="s">
        <v>264</v>
      </c>
      <c r="D144" t="s">
        <v>186</v>
      </c>
      <c r="E144">
        <f>1589/25*700+5508</f>
        <v>50000</v>
      </c>
      <c r="G144">
        <v>100</v>
      </c>
      <c r="H144" t="s">
        <v>49</v>
      </c>
    </row>
    <row r="145" spans="2:8">
      <c r="B145">
        <v>6942210203021</v>
      </c>
      <c r="C145" t="s">
        <v>265</v>
      </c>
      <c r="D145" t="s">
        <v>266</v>
      </c>
      <c r="E145">
        <v>150</v>
      </c>
      <c r="F145" t="s">
        <v>4</v>
      </c>
      <c r="G145">
        <v>100</v>
      </c>
      <c r="H145" t="s">
        <v>16</v>
      </c>
    </row>
    <row r="146" spans="2:8">
      <c r="B146">
        <v>6942210216700</v>
      </c>
      <c r="C146" t="s">
        <v>267</v>
      </c>
      <c r="D146" t="s">
        <v>266</v>
      </c>
      <c r="E146">
        <v>200</v>
      </c>
      <c r="F146" t="s">
        <v>4</v>
      </c>
      <c r="G146">
        <v>100</v>
      </c>
      <c r="H146" t="s">
        <v>16</v>
      </c>
    </row>
    <row r="147" spans="2:8">
      <c r="B147" t="s">
        <v>268</v>
      </c>
      <c r="C147" t="s">
        <v>269</v>
      </c>
      <c r="D147" t="s">
        <v>266</v>
      </c>
      <c r="E147">
        <v>50000</v>
      </c>
      <c r="G147">
        <v>100</v>
      </c>
      <c r="H147" t="s">
        <v>16</v>
      </c>
    </row>
    <row r="148" spans="2:8">
      <c r="B148" t="s">
        <v>270</v>
      </c>
      <c r="C148" t="s">
        <v>271</v>
      </c>
      <c r="D148" t="s">
        <v>266</v>
      </c>
      <c r="E148">
        <v>40000</v>
      </c>
      <c r="G148">
        <v>100</v>
      </c>
      <c r="H148" t="s">
        <v>16</v>
      </c>
    </row>
    <row r="149" spans="2:8">
      <c r="B149" t="s">
        <v>272</v>
      </c>
      <c r="C149" t="s">
        <v>273</v>
      </c>
      <c r="D149" t="s">
        <v>266</v>
      </c>
      <c r="E149">
        <v>60000</v>
      </c>
      <c r="G149">
        <v>100</v>
      </c>
      <c r="H149" t="s">
        <v>16</v>
      </c>
    </row>
    <row r="150" spans="2:8">
      <c r="B150" t="s">
        <v>274</v>
      </c>
      <c r="C150" t="s">
        <v>275</v>
      </c>
      <c r="D150" t="s">
        <v>266</v>
      </c>
      <c r="E150">
        <v>80</v>
      </c>
      <c r="F150" t="s">
        <v>4</v>
      </c>
      <c r="G150">
        <v>100</v>
      </c>
      <c r="H150" t="s">
        <v>16</v>
      </c>
    </row>
    <row r="151" spans="2:8">
      <c r="B151" t="s">
        <v>276</v>
      </c>
      <c r="C151" t="s">
        <v>277</v>
      </c>
      <c r="D151" t="s">
        <v>266</v>
      </c>
      <c r="E151">
        <v>120</v>
      </c>
      <c r="F151" t="s">
        <v>4</v>
      </c>
      <c r="G151">
        <v>100</v>
      </c>
      <c r="H151" t="s">
        <v>16</v>
      </c>
    </row>
    <row r="152" spans="2:8">
      <c r="B152">
        <v>8859105112178</v>
      </c>
      <c r="C152" t="s">
        <v>278</v>
      </c>
      <c r="D152" t="s">
        <v>266</v>
      </c>
      <c r="E152">
        <v>200</v>
      </c>
      <c r="F152" t="s">
        <v>4</v>
      </c>
      <c r="G152">
        <v>100</v>
      </c>
      <c r="H152" t="s">
        <v>6</v>
      </c>
    </row>
    <row r="153" spans="2:8">
      <c r="B153" t="s">
        <v>279</v>
      </c>
      <c r="C153" t="s">
        <v>280</v>
      </c>
      <c r="D153" t="s">
        <v>266</v>
      </c>
      <c r="E153">
        <v>230</v>
      </c>
      <c r="F153" t="s">
        <v>4</v>
      </c>
      <c r="G153">
        <v>100</v>
      </c>
      <c r="H153" t="s">
        <v>6</v>
      </c>
    </row>
    <row r="154" spans="2:8">
      <c r="B154" t="s">
        <v>281</v>
      </c>
      <c r="C154" t="s">
        <v>282</v>
      </c>
      <c r="D154" t="s">
        <v>266</v>
      </c>
      <c r="E154">
        <v>8000</v>
      </c>
      <c r="G154">
        <v>100</v>
      </c>
      <c r="H154" t="s">
        <v>16</v>
      </c>
    </row>
    <row r="155" spans="2:8">
      <c r="B155" t="s">
        <v>283</v>
      </c>
      <c r="C155" t="s">
        <v>284</v>
      </c>
      <c r="D155" t="s">
        <v>266</v>
      </c>
      <c r="E155">
        <v>10000</v>
      </c>
      <c r="G155">
        <v>100</v>
      </c>
      <c r="H155" t="s">
        <v>16</v>
      </c>
    </row>
    <row r="156" spans="2:8">
      <c r="B156" t="s">
        <v>285</v>
      </c>
      <c r="C156" t="s">
        <v>286</v>
      </c>
      <c r="D156" t="s">
        <v>287</v>
      </c>
      <c r="E156">
        <v>10000</v>
      </c>
      <c r="G156">
        <v>94</v>
      </c>
      <c r="H156" t="s">
        <v>288</v>
      </c>
    </row>
    <row r="157" spans="2:8">
      <c r="B157" t="s">
        <v>289</v>
      </c>
      <c r="C157" t="s">
        <v>290</v>
      </c>
      <c r="D157" t="s">
        <v>287</v>
      </c>
      <c r="G157">
        <v>100</v>
      </c>
      <c r="H157" t="s">
        <v>291</v>
      </c>
    </row>
    <row r="158" spans="2:8">
      <c r="B158" t="s">
        <v>292</v>
      </c>
      <c r="C158" t="s">
        <v>293</v>
      </c>
      <c r="D158" t="s">
        <v>287</v>
      </c>
      <c r="E158">
        <v>850000</v>
      </c>
      <c r="G158">
        <v>100</v>
      </c>
      <c r="H158" t="s">
        <v>291</v>
      </c>
    </row>
    <row r="159" spans="2:8">
      <c r="B159" t="s">
        <v>294</v>
      </c>
      <c r="C159" t="s">
        <v>295</v>
      </c>
      <c r="D159" t="s">
        <v>287</v>
      </c>
      <c r="E159">
        <v>550000</v>
      </c>
      <c r="G159">
        <v>100</v>
      </c>
      <c r="H159" t="s">
        <v>291</v>
      </c>
    </row>
    <row r="160" spans="2:8">
      <c r="B160" t="s">
        <v>296</v>
      </c>
      <c r="C160" t="s">
        <v>297</v>
      </c>
      <c r="D160" t="s">
        <v>287</v>
      </c>
      <c r="E160">
        <v>1800</v>
      </c>
      <c r="G160">
        <v>3000</v>
      </c>
      <c r="H160" t="s">
        <v>288</v>
      </c>
    </row>
    <row r="161" spans="2:8">
      <c r="B161" t="s">
        <v>298</v>
      </c>
      <c r="C161" t="s">
        <v>299</v>
      </c>
      <c r="D161" t="s">
        <v>287</v>
      </c>
      <c r="E161">
        <v>1000</v>
      </c>
      <c r="G161">
        <v>1000</v>
      </c>
      <c r="H161" t="s">
        <v>288</v>
      </c>
    </row>
    <row r="162" spans="2:8">
      <c r="B162" t="s">
        <v>300</v>
      </c>
      <c r="C162" t="s">
        <v>301</v>
      </c>
      <c r="D162" t="s">
        <v>287</v>
      </c>
      <c r="E162">
        <v>5000</v>
      </c>
      <c r="G162">
        <v>100</v>
      </c>
      <c r="H162" t="s">
        <v>288</v>
      </c>
    </row>
    <row r="163" spans="2:8">
      <c r="B163" t="s">
        <v>302</v>
      </c>
      <c r="C163" t="s">
        <v>303</v>
      </c>
      <c r="D163" t="s">
        <v>287</v>
      </c>
      <c r="G163">
        <v>100</v>
      </c>
      <c r="H163" t="s">
        <v>291</v>
      </c>
    </row>
    <row r="164" spans="2:8">
      <c r="B164" t="s">
        <v>304</v>
      </c>
      <c r="C164" t="s">
        <v>305</v>
      </c>
      <c r="D164" t="s">
        <v>306</v>
      </c>
      <c r="E164">
        <v>70</v>
      </c>
      <c r="F164" t="s">
        <v>4</v>
      </c>
      <c r="G164">
        <v>100</v>
      </c>
      <c r="H164" t="s">
        <v>39</v>
      </c>
    </row>
    <row r="165" spans="2:8">
      <c r="B165">
        <v>8859513711772</v>
      </c>
      <c r="C165" t="s">
        <v>307</v>
      </c>
      <c r="D165" t="s">
        <v>306</v>
      </c>
      <c r="E165">
        <v>45000</v>
      </c>
      <c r="G165">
        <v>100</v>
      </c>
      <c r="H165" t="s">
        <v>16</v>
      </c>
    </row>
    <row r="166" spans="2:8">
      <c r="B166" t="s">
        <v>308</v>
      </c>
      <c r="C166" t="s">
        <v>309</v>
      </c>
      <c r="D166" t="s">
        <v>306</v>
      </c>
      <c r="E166">
        <v>80000</v>
      </c>
      <c r="G166">
        <v>96</v>
      </c>
      <c r="H166" t="s">
        <v>39</v>
      </c>
    </row>
    <row r="167" spans="2:8">
      <c r="B167" t="s">
        <v>310</v>
      </c>
      <c r="C167" t="s">
        <v>311</v>
      </c>
      <c r="D167" t="s">
        <v>306</v>
      </c>
      <c r="E167">
        <v>60</v>
      </c>
      <c r="F167" t="s">
        <v>4</v>
      </c>
      <c r="G167">
        <v>96</v>
      </c>
      <c r="H167" t="s">
        <v>49</v>
      </c>
    </row>
    <row r="168" spans="2:8">
      <c r="B168" t="s">
        <v>312</v>
      </c>
      <c r="C168" t="s">
        <v>313</v>
      </c>
      <c r="D168" t="s">
        <v>306</v>
      </c>
      <c r="E168">
        <v>150</v>
      </c>
      <c r="F168" t="s">
        <v>4</v>
      </c>
      <c r="G168">
        <v>100</v>
      </c>
      <c r="H168" t="s">
        <v>49</v>
      </c>
    </row>
    <row r="169" spans="2:8">
      <c r="B169" t="s">
        <v>314</v>
      </c>
      <c r="C169" t="s">
        <v>315</v>
      </c>
      <c r="D169" t="s">
        <v>287</v>
      </c>
      <c r="E169">
        <v>350000</v>
      </c>
      <c r="G169">
        <v>99</v>
      </c>
      <c r="H169" t="s">
        <v>316</v>
      </c>
    </row>
    <row r="170" spans="2:8">
      <c r="B170">
        <v>8858928765998</v>
      </c>
      <c r="C170" t="s">
        <v>317</v>
      </c>
      <c r="D170" t="s">
        <v>318</v>
      </c>
      <c r="E170">
        <v>25.713999999999999</v>
      </c>
      <c r="F170" t="s">
        <v>4</v>
      </c>
      <c r="G170">
        <v>100</v>
      </c>
      <c r="H170" t="s">
        <v>16</v>
      </c>
    </row>
    <row r="171" spans="2:8">
      <c r="B171">
        <v>8858765200911</v>
      </c>
      <c r="C171" t="s">
        <v>319</v>
      </c>
      <c r="D171" t="s">
        <v>318</v>
      </c>
      <c r="E171">
        <v>70</v>
      </c>
      <c r="F171" t="s">
        <v>4</v>
      </c>
      <c r="G171">
        <v>100</v>
      </c>
      <c r="H171" t="s">
        <v>16</v>
      </c>
    </row>
    <row r="172" spans="2:8">
      <c r="B172">
        <v>8855890014178</v>
      </c>
      <c r="C172" t="s">
        <v>320</v>
      </c>
      <c r="D172" t="s">
        <v>318</v>
      </c>
      <c r="E172">
        <v>120</v>
      </c>
      <c r="F172" t="s">
        <v>4</v>
      </c>
      <c r="G172">
        <v>100</v>
      </c>
      <c r="H172" t="s">
        <v>16</v>
      </c>
    </row>
    <row r="173" spans="2:8">
      <c r="B173">
        <v>8858898602644</v>
      </c>
      <c r="C173" t="s">
        <v>321</v>
      </c>
      <c r="D173" t="s">
        <v>318</v>
      </c>
      <c r="E173">
        <v>15000</v>
      </c>
      <c r="G173">
        <v>100</v>
      </c>
      <c r="H173" t="s">
        <v>16</v>
      </c>
    </row>
    <row r="174" spans="2:8">
      <c r="B174">
        <v>8856608021716</v>
      </c>
      <c r="C174" t="s">
        <v>322</v>
      </c>
      <c r="D174" t="s">
        <v>323</v>
      </c>
      <c r="E174">
        <f>80+30</f>
        <v>110</v>
      </c>
      <c r="F174" t="s">
        <v>4</v>
      </c>
      <c r="G174">
        <v>100</v>
      </c>
      <c r="H174" t="s">
        <v>16</v>
      </c>
    </row>
    <row r="175" spans="2:8">
      <c r="B175" t="s">
        <v>324</v>
      </c>
      <c r="C175" t="s">
        <v>325</v>
      </c>
      <c r="D175" t="s">
        <v>326</v>
      </c>
      <c r="E175">
        <v>25000</v>
      </c>
      <c r="G175">
        <v>100</v>
      </c>
      <c r="H175" t="s">
        <v>327</v>
      </c>
    </row>
    <row r="176" spans="2:8">
      <c r="B176" t="s">
        <v>328</v>
      </c>
      <c r="C176" t="s">
        <v>329</v>
      </c>
      <c r="D176" t="s">
        <v>326</v>
      </c>
      <c r="E176">
        <v>50000</v>
      </c>
      <c r="G176">
        <v>100</v>
      </c>
      <c r="H176" t="s">
        <v>327</v>
      </c>
    </row>
    <row r="177" spans="2:8">
      <c r="B177" t="s">
        <v>330</v>
      </c>
      <c r="C177" t="s">
        <v>331</v>
      </c>
      <c r="D177" t="s">
        <v>326</v>
      </c>
      <c r="E177">
        <v>35000</v>
      </c>
      <c r="G177">
        <v>100</v>
      </c>
      <c r="H177" t="s">
        <v>327</v>
      </c>
    </row>
    <row r="178" spans="2:8">
      <c r="B178" t="s">
        <v>332</v>
      </c>
      <c r="C178" t="s">
        <v>333</v>
      </c>
      <c r="D178" t="s">
        <v>326</v>
      </c>
      <c r="E178">
        <v>25000</v>
      </c>
      <c r="G178">
        <v>99</v>
      </c>
      <c r="H178" t="s">
        <v>327</v>
      </c>
    </row>
    <row r="179" spans="2:8">
      <c r="B179" t="s">
        <v>334</v>
      </c>
      <c r="C179" t="s">
        <v>335</v>
      </c>
      <c r="D179" t="s">
        <v>326</v>
      </c>
      <c r="E179">
        <v>25000</v>
      </c>
      <c r="G179">
        <v>99</v>
      </c>
      <c r="H179" t="s">
        <v>327</v>
      </c>
    </row>
    <row r="180" spans="2:8">
      <c r="B180" t="s">
        <v>336</v>
      </c>
      <c r="C180" t="s">
        <v>337</v>
      </c>
      <c r="D180" t="s">
        <v>326</v>
      </c>
      <c r="E180">
        <v>25000</v>
      </c>
      <c r="G180">
        <v>99</v>
      </c>
      <c r="H180" t="s">
        <v>327</v>
      </c>
    </row>
    <row r="181" spans="2:8">
      <c r="B181" t="s">
        <v>338</v>
      </c>
      <c r="C181" t="s">
        <v>339</v>
      </c>
      <c r="D181" t="s">
        <v>340</v>
      </c>
      <c r="E181">
        <v>30000</v>
      </c>
      <c r="G181">
        <v>100</v>
      </c>
      <c r="H181" t="s">
        <v>341</v>
      </c>
    </row>
    <row r="182" spans="2:8">
      <c r="B182" t="s">
        <v>342</v>
      </c>
      <c r="C182" t="s">
        <v>343</v>
      </c>
      <c r="D182" t="s">
        <v>340</v>
      </c>
      <c r="E182">
        <v>20000</v>
      </c>
      <c r="G182">
        <v>93</v>
      </c>
      <c r="H182" t="s">
        <v>341</v>
      </c>
    </row>
    <row r="183" spans="2:8">
      <c r="B183" t="s">
        <v>344</v>
      </c>
      <c r="C183" t="s">
        <v>345</v>
      </c>
      <c r="D183" t="s">
        <v>340</v>
      </c>
      <c r="E183">
        <v>25000</v>
      </c>
      <c r="G183">
        <v>75</v>
      </c>
      <c r="H183" t="s">
        <v>346</v>
      </c>
    </row>
    <row r="184" spans="2:8">
      <c r="B184" t="s">
        <v>347</v>
      </c>
      <c r="C184" t="s">
        <v>348</v>
      </c>
      <c r="D184" t="s">
        <v>340</v>
      </c>
      <c r="E184">
        <v>28000</v>
      </c>
      <c r="G184">
        <v>60</v>
      </c>
      <c r="H184" t="s">
        <v>49</v>
      </c>
    </row>
    <row r="185" spans="2:8">
      <c r="B185" t="s">
        <v>349</v>
      </c>
      <c r="C185" t="s">
        <v>350</v>
      </c>
      <c r="D185" t="s">
        <v>340</v>
      </c>
      <c r="E185">
        <v>60000</v>
      </c>
      <c r="G185">
        <v>78</v>
      </c>
      <c r="H185" t="s">
        <v>49</v>
      </c>
    </row>
    <row r="186" spans="2:8">
      <c r="B186" t="s">
        <v>351</v>
      </c>
      <c r="C186" t="s">
        <v>352</v>
      </c>
      <c r="D186" t="s">
        <v>340</v>
      </c>
      <c r="E186">
        <v>90000</v>
      </c>
      <c r="G186">
        <v>24</v>
      </c>
      <c r="H186" t="s">
        <v>49</v>
      </c>
    </row>
    <row r="187" spans="2:8">
      <c r="B187" t="s">
        <v>353</v>
      </c>
      <c r="C187" t="s">
        <v>354</v>
      </c>
      <c r="D187" t="s">
        <v>340</v>
      </c>
      <c r="E187">
        <v>45000</v>
      </c>
      <c r="G187">
        <v>80</v>
      </c>
      <c r="H187" t="s">
        <v>49</v>
      </c>
    </row>
    <row r="188" spans="2:8">
      <c r="B188" t="s">
        <v>355</v>
      </c>
      <c r="C188" t="s">
        <v>356</v>
      </c>
      <c r="D188" t="s">
        <v>340</v>
      </c>
      <c r="E188">
        <v>35000</v>
      </c>
      <c r="G188">
        <v>99</v>
      </c>
      <c r="H188" t="s">
        <v>49</v>
      </c>
    </row>
    <row r="189" spans="2:8">
      <c r="B189" t="s">
        <v>357</v>
      </c>
      <c r="C189" t="s">
        <v>358</v>
      </c>
      <c r="D189" t="s">
        <v>340</v>
      </c>
      <c r="E189">
        <v>20000</v>
      </c>
      <c r="G189">
        <v>84</v>
      </c>
      <c r="H189" t="s">
        <v>49</v>
      </c>
    </row>
    <row r="190" spans="2:8">
      <c r="B190" t="s">
        <v>359</v>
      </c>
      <c r="C190" t="s">
        <v>360</v>
      </c>
      <c r="D190" t="s">
        <v>340</v>
      </c>
      <c r="E190">
        <v>35000</v>
      </c>
      <c r="G190">
        <v>100</v>
      </c>
      <c r="H190" t="s">
        <v>49</v>
      </c>
    </row>
    <row r="191" spans="2:8">
      <c r="B191" t="s">
        <v>361</v>
      </c>
      <c r="C191" t="s">
        <v>362</v>
      </c>
      <c r="D191" t="s">
        <v>340</v>
      </c>
      <c r="E191">
        <v>45000</v>
      </c>
      <c r="G191">
        <v>153</v>
      </c>
      <c r="H191" t="s">
        <v>49</v>
      </c>
    </row>
    <row r="192" spans="2:8">
      <c r="B192">
        <v>8858721530137</v>
      </c>
      <c r="C192" t="s">
        <v>363</v>
      </c>
      <c r="D192" t="s">
        <v>15</v>
      </c>
      <c r="E192">
        <v>18000</v>
      </c>
      <c r="G192">
        <v>100</v>
      </c>
      <c r="H192" t="s">
        <v>16</v>
      </c>
    </row>
    <row r="193" spans="2:8">
      <c r="B193">
        <v>8858721530625</v>
      </c>
      <c r="C193" t="s">
        <v>364</v>
      </c>
      <c r="D193" t="s">
        <v>15</v>
      </c>
      <c r="F193" t="s">
        <v>4</v>
      </c>
      <c r="G193">
        <v>100</v>
      </c>
      <c r="H193" t="s">
        <v>16</v>
      </c>
    </row>
    <row r="194" spans="2:8">
      <c r="B194">
        <v>8858721535675</v>
      </c>
      <c r="C194" t="s">
        <v>365</v>
      </c>
      <c r="D194" t="s">
        <v>15</v>
      </c>
      <c r="E194">
        <v>70</v>
      </c>
      <c r="F194" t="s">
        <v>4</v>
      </c>
      <c r="G194">
        <v>99</v>
      </c>
      <c r="H194" t="s">
        <v>16</v>
      </c>
    </row>
    <row r="195" spans="2:8">
      <c r="B195">
        <v>8858721530427</v>
      </c>
      <c r="C195" t="s">
        <v>366</v>
      </c>
      <c r="D195" t="s">
        <v>15</v>
      </c>
      <c r="E195">
        <v>28.571000000000002</v>
      </c>
      <c r="F195" t="s">
        <v>4</v>
      </c>
      <c r="G195">
        <v>100</v>
      </c>
      <c r="H195" t="s">
        <v>16</v>
      </c>
    </row>
    <row r="196" spans="2:8">
      <c r="B196">
        <v>8858721530434</v>
      </c>
      <c r="C196" t="s">
        <v>367</v>
      </c>
      <c r="D196" t="s">
        <v>15</v>
      </c>
      <c r="E196">
        <v>36</v>
      </c>
      <c r="F196" t="s">
        <v>4</v>
      </c>
      <c r="G196">
        <v>100</v>
      </c>
      <c r="H196" t="s">
        <v>16</v>
      </c>
    </row>
    <row r="197" spans="2:8">
      <c r="B197">
        <v>8858721530441</v>
      </c>
      <c r="C197" t="s">
        <v>368</v>
      </c>
      <c r="D197" t="s">
        <v>15</v>
      </c>
      <c r="E197">
        <v>50</v>
      </c>
      <c r="F197" t="s">
        <v>4</v>
      </c>
      <c r="G197">
        <v>98</v>
      </c>
      <c r="H197" t="s">
        <v>16</v>
      </c>
    </row>
    <row r="198" spans="2:8">
      <c r="B198">
        <v>8858721531011</v>
      </c>
      <c r="C198" t="s">
        <v>369</v>
      </c>
      <c r="D198" t="s">
        <v>15</v>
      </c>
      <c r="E198">
        <v>26</v>
      </c>
      <c r="F198" t="s">
        <v>4</v>
      </c>
      <c r="G198">
        <v>98</v>
      </c>
      <c r="H198" t="s">
        <v>16</v>
      </c>
    </row>
    <row r="199" spans="2:8">
      <c r="B199">
        <v>8858721530038</v>
      </c>
      <c r="C199" t="s">
        <v>370</v>
      </c>
      <c r="D199" t="s">
        <v>15</v>
      </c>
      <c r="E199">
        <v>15000</v>
      </c>
      <c r="G199">
        <v>100</v>
      </c>
      <c r="H199" t="s">
        <v>16</v>
      </c>
    </row>
    <row r="200" spans="2:8">
      <c r="B200">
        <v>8858721530410</v>
      </c>
      <c r="C200" t="s">
        <v>371</v>
      </c>
      <c r="D200" t="s">
        <v>15</v>
      </c>
      <c r="E200">
        <v>15000</v>
      </c>
      <c r="G200">
        <v>95</v>
      </c>
      <c r="H200" t="s">
        <v>16</v>
      </c>
    </row>
    <row r="201" spans="2:8">
      <c r="B201">
        <v>8858721530533</v>
      </c>
      <c r="C201" t="s">
        <v>372</v>
      </c>
      <c r="D201" t="s">
        <v>15</v>
      </c>
      <c r="E201">
        <v>15000</v>
      </c>
      <c r="G201">
        <v>100</v>
      </c>
      <c r="H201" t="s">
        <v>16</v>
      </c>
    </row>
    <row r="202" spans="2:8">
      <c r="B202">
        <v>8858721531349</v>
      </c>
      <c r="C202" t="s">
        <v>373</v>
      </c>
      <c r="D202" t="s">
        <v>15</v>
      </c>
      <c r="E202">
        <v>26</v>
      </c>
      <c r="F202" t="s">
        <v>4</v>
      </c>
      <c r="G202">
        <v>100</v>
      </c>
      <c r="H202" t="s">
        <v>16</v>
      </c>
    </row>
    <row r="203" spans="2:8">
      <c r="B203">
        <v>8858721530601</v>
      </c>
      <c r="C203" t="s">
        <v>374</v>
      </c>
      <c r="D203" t="s">
        <v>15</v>
      </c>
      <c r="E203">
        <v>30</v>
      </c>
      <c r="F203" t="s">
        <v>4</v>
      </c>
      <c r="G203">
        <v>100</v>
      </c>
      <c r="H203" t="s">
        <v>16</v>
      </c>
    </row>
    <row r="204" spans="2:8">
      <c r="B204">
        <v>8858721531721</v>
      </c>
      <c r="C204" t="s">
        <v>375</v>
      </c>
      <c r="D204" t="s">
        <v>15</v>
      </c>
      <c r="E204">
        <v>50</v>
      </c>
      <c r="F204" t="s">
        <v>4</v>
      </c>
      <c r="G204">
        <v>99</v>
      </c>
      <c r="H204" t="s">
        <v>16</v>
      </c>
    </row>
    <row r="205" spans="2:8">
      <c r="B205">
        <v>8858721532100</v>
      </c>
      <c r="C205" t="s">
        <v>376</v>
      </c>
      <c r="D205" t="s">
        <v>15</v>
      </c>
      <c r="E205">
        <v>15000</v>
      </c>
      <c r="G205">
        <v>100</v>
      </c>
      <c r="H205" t="s">
        <v>16</v>
      </c>
    </row>
    <row r="206" spans="2:8">
      <c r="B206">
        <v>8855401003073</v>
      </c>
      <c r="C206" t="s">
        <v>377</v>
      </c>
      <c r="D206" t="s">
        <v>378</v>
      </c>
      <c r="E206">
        <f>125+25</f>
        <v>150</v>
      </c>
      <c r="F206" t="s">
        <v>4</v>
      </c>
      <c r="G206">
        <v>95</v>
      </c>
      <c r="H206" t="s">
        <v>160</v>
      </c>
    </row>
    <row r="207" spans="2:8">
      <c r="B207">
        <v>8852278100232</v>
      </c>
      <c r="C207" t="s">
        <v>379</v>
      </c>
      <c r="D207" t="s">
        <v>306</v>
      </c>
      <c r="E207">
        <f>310+61.429</f>
        <v>371.42899999999997</v>
      </c>
      <c r="F207" t="s">
        <v>4</v>
      </c>
      <c r="G207">
        <v>99</v>
      </c>
      <c r="H207" t="s">
        <v>160</v>
      </c>
    </row>
    <row r="208" spans="2:8">
      <c r="B208">
        <v>8859088301071</v>
      </c>
      <c r="C208" t="s">
        <v>380</v>
      </c>
      <c r="D208" t="s">
        <v>378</v>
      </c>
      <c r="E208">
        <v>15000</v>
      </c>
      <c r="G208">
        <v>100</v>
      </c>
      <c r="H208" t="s">
        <v>44</v>
      </c>
    </row>
    <row r="209" spans="2:8">
      <c r="B209">
        <v>8859088301088</v>
      </c>
      <c r="C209" t="s">
        <v>381</v>
      </c>
      <c r="D209" t="s">
        <v>378</v>
      </c>
      <c r="E209">
        <v>230000</v>
      </c>
      <c r="G209">
        <v>100</v>
      </c>
      <c r="H209" t="s">
        <v>160</v>
      </c>
    </row>
    <row r="210" spans="2:8">
      <c r="B210">
        <v>8855401003028</v>
      </c>
      <c r="C210" t="s">
        <v>382</v>
      </c>
      <c r="D210" t="s">
        <v>378</v>
      </c>
      <c r="E210">
        <v>214.285</v>
      </c>
      <c r="F210" t="s">
        <v>4</v>
      </c>
      <c r="G210">
        <v>99</v>
      </c>
      <c r="H210" t="s">
        <v>160</v>
      </c>
    </row>
    <row r="211" spans="2:8">
      <c r="B211" t="s">
        <v>383</v>
      </c>
      <c r="C211" t="s">
        <v>384</v>
      </c>
      <c r="D211" t="s">
        <v>15</v>
      </c>
      <c r="E211">
        <v>30000</v>
      </c>
      <c r="G211">
        <v>99</v>
      </c>
      <c r="H211" t="s">
        <v>16</v>
      </c>
    </row>
    <row r="212" spans="2:8">
      <c r="B212" t="s">
        <v>385</v>
      </c>
      <c r="C212" t="s">
        <v>386</v>
      </c>
      <c r="D212" t="s">
        <v>387</v>
      </c>
      <c r="E212">
        <v>30000</v>
      </c>
      <c r="G212">
        <v>100</v>
      </c>
      <c r="H212" t="s">
        <v>39</v>
      </c>
    </row>
    <row r="213" spans="2:8">
      <c r="B213" t="s">
        <v>388</v>
      </c>
      <c r="C213" t="s">
        <v>389</v>
      </c>
      <c r="D213" t="s">
        <v>387</v>
      </c>
      <c r="E213">
        <v>35000</v>
      </c>
      <c r="G213">
        <v>99</v>
      </c>
      <c r="H213" t="s">
        <v>39</v>
      </c>
    </row>
    <row r="214" spans="2:8">
      <c r="B214" t="s">
        <v>390</v>
      </c>
      <c r="C214" t="s">
        <v>391</v>
      </c>
      <c r="D214" t="s">
        <v>387</v>
      </c>
      <c r="E214">
        <v>40000</v>
      </c>
      <c r="G214">
        <v>100</v>
      </c>
      <c r="H214" t="s">
        <v>39</v>
      </c>
    </row>
    <row r="215" spans="2:8">
      <c r="B215" t="s">
        <v>392</v>
      </c>
      <c r="C215" t="s">
        <v>393</v>
      </c>
      <c r="D215" t="s">
        <v>387</v>
      </c>
      <c r="E215">
        <v>45000</v>
      </c>
      <c r="G215">
        <v>100</v>
      </c>
      <c r="H215" t="s">
        <v>39</v>
      </c>
    </row>
    <row r="216" spans="2:8">
      <c r="B216" t="s">
        <v>394</v>
      </c>
      <c r="C216" t="s">
        <v>395</v>
      </c>
      <c r="D216" t="s">
        <v>387</v>
      </c>
      <c r="E216">
        <v>50000</v>
      </c>
      <c r="G216">
        <v>100</v>
      </c>
      <c r="H216" t="s">
        <v>39</v>
      </c>
    </row>
    <row r="217" spans="2:8">
      <c r="B217" t="s">
        <v>396</v>
      </c>
      <c r="C217" t="s">
        <v>397</v>
      </c>
      <c r="D217" t="s">
        <v>387</v>
      </c>
      <c r="E217">
        <v>60000</v>
      </c>
      <c r="G217">
        <v>99</v>
      </c>
      <c r="H217" t="s">
        <v>39</v>
      </c>
    </row>
    <row r="218" spans="2:8">
      <c r="B218" t="s">
        <v>398</v>
      </c>
      <c r="C218" t="s">
        <v>399</v>
      </c>
      <c r="D218" t="s">
        <v>326</v>
      </c>
      <c r="E218">
        <v>70000</v>
      </c>
      <c r="G218">
        <v>100</v>
      </c>
      <c r="H218" t="s">
        <v>327</v>
      </c>
    </row>
    <row r="219" spans="2:8">
      <c r="B219">
        <v>8859351111116</v>
      </c>
      <c r="C219" t="s">
        <v>400</v>
      </c>
      <c r="D219" t="s">
        <v>306</v>
      </c>
      <c r="E219">
        <v>110000</v>
      </c>
      <c r="G219">
        <v>100</v>
      </c>
      <c r="H219" t="s">
        <v>39</v>
      </c>
    </row>
    <row r="220" spans="2:8">
      <c r="B220">
        <v>8858721556045</v>
      </c>
      <c r="C220" t="s">
        <v>401</v>
      </c>
      <c r="D220" t="s">
        <v>9</v>
      </c>
      <c r="E220">
        <v>50</v>
      </c>
      <c r="F220" t="s">
        <v>4</v>
      </c>
      <c r="G220">
        <v>96</v>
      </c>
      <c r="H220" t="s">
        <v>402</v>
      </c>
    </row>
    <row r="221" spans="2:8">
      <c r="B221">
        <v>8858721556052</v>
      </c>
      <c r="C221" t="s">
        <v>403</v>
      </c>
      <c r="D221" t="s">
        <v>9</v>
      </c>
      <c r="E221">
        <v>100</v>
      </c>
      <c r="F221" t="s">
        <v>4</v>
      </c>
      <c r="G221">
        <v>98</v>
      </c>
      <c r="H221" t="s">
        <v>402</v>
      </c>
    </row>
    <row r="222" spans="2:8">
      <c r="B222">
        <v>8858721556069</v>
      </c>
      <c r="C222" t="s">
        <v>404</v>
      </c>
      <c r="D222" t="s">
        <v>9</v>
      </c>
      <c r="E222">
        <v>160</v>
      </c>
      <c r="F222" t="s">
        <v>4</v>
      </c>
      <c r="G222">
        <v>98</v>
      </c>
      <c r="H222" t="s">
        <v>402</v>
      </c>
    </row>
    <row r="223" spans="2:8">
      <c r="B223">
        <v>3165140006811</v>
      </c>
      <c r="C223" t="s">
        <v>405</v>
      </c>
      <c r="G223">
        <v>100</v>
      </c>
    </row>
    <row r="224" spans="2:8">
      <c r="B224" t="s">
        <v>406</v>
      </c>
      <c r="C224" t="s">
        <v>407</v>
      </c>
      <c r="D224" t="s">
        <v>287</v>
      </c>
      <c r="E224">
        <v>1600000</v>
      </c>
      <c r="G224">
        <v>97</v>
      </c>
      <c r="H224" t="s">
        <v>291</v>
      </c>
    </row>
    <row r="225" spans="2:8">
      <c r="B225">
        <v>8850106765400</v>
      </c>
      <c r="C225" t="s">
        <v>408</v>
      </c>
      <c r="D225" t="s">
        <v>38</v>
      </c>
      <c r="E225">
        <v>75000</v>
      </c>
      <c r="G225">
        <v>95</v>
      </c>
      <c r="H225" t="s">
        <v>16</v>
      </c>
    </row>
    <row r="226" spans="2:8">
      <c r="B226">
        <v>8850106765417</v>
      </c>
      <c r="C226" t="s">
        <v>409</v>
      </c>
      <c r="D226" t="s">
        <v>38</v>
      </c>
      <c r="E226">
        <v>75000</v>
      </c>
      <c r="G226">
        <v>97</v>
      </c>
      <c r="H226" t="s">
        <v>16</v>
      </c>
    </row>
    <row r="227" spans="2:8">
      <c r="B227">
        <v>8850106765394</v>
      </c>
      <c r="C227" t="s">
        <v>410</v>
      </c>
      <c r="D227" t="s">
        <v>38</v>
      </c>
      <c r="E227">
        <v>75000</v>
      </c>
      <c r="G227">
        <v>99</v>
      </c>
      <c r="H227" t="s">
        <v>16</v>
      </c>
    </row>
    <row r="228" spans="2:8">
      <c r="B228">
        <v>8859172214874</v>
      </c>
      <c r="C228" t="s">
        <v>411</v>
      </c>
      <c r="D228" t="s">
        <v>38</v>
      </c>
      <c r="E228">
        <v>40000</v>
      </c>
      <c r="G228">
        <v>99</v>
      </c>
      <c r="H228" t="s">
        <v>16</v>
      </c>
    </row>
    <row r="229" spans="2:8">
      <c r="B229" t="s">
        <v>412</v>
      </c>
      <c r="C229" t="s">
        <v>413</v>
      </c>
      <c r="D229" t="s">
        <v>413</v>
      </c>
      <c r="E229">
        <v>100000</v>
      </c>
      <c r="G229">
        <v>997</v>
      </c>
      <c r="H229" t="s">
        <v>414</v>
      </c>
    </row>
    <row r="230" spans="2:8">
      <c r="B230">
        <v>8858721530786</v>
      </c>
      <c r="C230" t="s">
        <v>415</v>
      </c>
      <c r="D230" t="s">
        <v>15</v>
      </c>
      <c r="E230">
        <f>50000/700</f>
        <v>71.428571428571431</v>
      </c>
      <c r="F230" t="s">
        <v>4</v>
      </c>
      <c r="G230">
        <v>96</v>
      </c>
      <c r="H230" t="s">
        <v>16</v>
      </c>
    </row>
    <row r="231" spans="2:8">
      <c r="B231">
        <v>8851908102434</v>
      </c>
      <c r="C231" t="s">
        <v>416</v>
      </c>
      <c r="D231" t="s">
        <v>15</v>
      </c>
      <c r="E231">
        <v>25000</v>
      </c>
      <c r="G231">
        <v>96</v>
      </c>
      <c r="H231" t="s">
        <v>16</v>
      </c>
    </row>
    <row r="232" spans="2:8">
      <c r="B232">
        <v>8858721530236</v>
      </c>
      <c r="C232" t="s">
        <v>417</v>
      </c>
      <c r="D232" t="s">
        <v>15</v>
      </c>
      <c r="E232">
        <v>35000</v>
      </c>
      <c r="G232">
        <v>99</v>
      </c>
      <c r="H232" t="s">
        <v>16</v>
      </c>
    </row>
    <row r="233" spans="2:8">
      <c r="B233" t="s">
        <v>418</v>
      </c>
      <c r="C233" t="s">
        <v>419</v>
      </c>
      <c r="D233" t="s">
        <v>306</v>
      </c>
      <c r="E233">
        <v>50000</v>
      </c>
      <c r="G233">
        <v>91</v>
      </c>
      <c r="H233" t="s">
        <v>39</v>
      </c>
    </row>
    <row r="234" spans="2:8">
      <c r="B234">
        <v>8856608000919</v>
      </c>
      <c r="C234" t="s">
        <v>420</v>
      </c>
      <c r="D234" t="s">
        <v>15</v>
      </c>
      <c r="E234">
        <f>110+75.72</f>
        <v>185.72</v>
      </c>
      <c r="F234" t="s">
        <v>4</v>
      </c>
      <c r="G234">
        <v>100</v>
      </c>
      <c r="H234" t="s">
        <v>16</v>
      </c>
    </row>
    <row r="235" spans="2:8">
      <c r="B235" t="s">
        <v>421</v>
      </c>
      <c r="C235" t="s">
        <v>422</v>
      </c>
      <c r="D235" t="s">
        <v>38</v>
      </c>
      <c r="E235">
        <v>4000</v>
      </c>
      <c r="G235">
        <v>95</v>
      </c>
      <c r="H235" t="s">
        <v>16</v>
      </c>
    </row>
    <row r="236" spans="2:8">
      <c r="B236" t="s">
        <v>423</v>
      </c>
      <c r="C236" t="s">
        <v>424</v>
      </c>
      <c r="D236" t="s">
        <v>38</v>
      </c>
      <c r="E236">
        <v>35000</v>
      </c>
      <c r="G236">
        <v>99</v>
      </c>
      <c r="H236" t="s">
        <v>16</v>
      </c>
    </row>
    <row r="237" spans="2:8">
      <c r="B237" t="s">
        <v>425</v>
      </c>
      <c r="C237" t="s">
        <v>426</v>
      </c>
      <c r="D237" t="s">
        <v>38</v>
      </c>
      <c r="E237">
        <v>20000</v>
      </c>
      <c r="G237">
        <v>99</v>
      </c>
      <c r="H237" t="s">
        <v>16</v>
      </c>
    </row>
    <row r="238" spans="2:8">
      <c r="B238" t="s">
        <v>427</v>
      </c>
      <c r="C238" t="s">
        <v>428</v>
      </c>
      <c r="D238" t="s">
        <v>429</v>
      </c>
      <c r="E238">
        <v>71</v>
      </c>
      <c r="F238" t="s">
        <v>4</v>
      </c>
      <c r="G238">
        <v>1000</v>
      </c>
      <c r="H238" t="s">
        <v>39</v>
      </c>
    </row>
    <row r="239" spans="2:8">
      <c r="B239" t="s">
        <v>430</v>
      </c>
      <c r="C239" t="s">
        <v>431</v>
      </c>
      <c r="D239" t="s">
        <v>38</v>
      </c>
      <c r="E239">
        <v>157.14279999999999</v>
      </c>
      <c r="F239" t="s">
        <v>4</v>
      </c>
      <c r="G239">
        <v>99</v>
      </c>
      <c r="H239" t="s">
        <v>16</v>
      </c>
    </row>
    <row r="240" spans="2:8">
      <c r="B240" t="s">
        <v>432</v>
      </c>
      <c r="C240" t="s">
        <v>433</v>
      </c>
      <c r="D240" t="s">
        <v>38</v>
      </c>
      <c r="G240">
        <v>100</v>
      </c>
      <c r="H240" t="s">
        <v>16</v>
      </c>
    </row>
    <row r="241" spans="2:8">
      <c r="B241" t="s">
        <v>434</v>
      </c>
      <c r="C241" t="s">
        <v>435</v>
      </c>
      <c r="D241" t="s">
        <v>38</v>
      </c>
      <c r="G241">
        <v>100</v>
      </c>
      <c r="H241" t="s">
        <v>16</v>
      </c>
    </row>
    <row r="242" spans="2:8">
      <c r="B242" t="s">
        <v>436</v>
      </c>
      <c r="C242" t="s">
        <v>437</v>
      </c>
      <c r="D242" t="s">
        <v>38</v>
      </c>
      <c r="G242">
        <v>100</v>
      </c>
      <c r="H242" t="s">
        <v>16</v>
      </c>
    </row>
    <row r="243" spans="2:8">
      <c r="B243" t="s">
        <v>438</v>
      </c>
      <c r="C243" t="s">
        <v>439</v>
      </c>
      <c r="D243" t="s">
        <v>38</v>
      </c>
      <c r="G243">
        <v>100</v>
      </c>
      <c r="H243" t="s">
        <v>16</v>
      </c>
    </row>
    <row r="244" spans="2:8">
      <c r="B244">
        <v>8858721531028</v>
      </c>
      <c r="C244" t="s">
        <v>440</v>
      </c>
      <c r="D244" t="s">
        <v>15</v>
      </c>
      <c r="E244">
        <f>20000/700</f>
        <v>28.571428571428573</v>
      </c>
      <c r="F244" t="s">
        <v>4</v>
      </c>
      <c r="G244">
        <v>98</v>
      </c>
      <c r="H244" t="s">
        <v>16</v>
      </c>
    </row>
    <row r="245" spans="2:8">
      <c r="B245">
        <v>8858721531035</v>
      </c>
      <c r="C245" t="s">
        <v>441</v>
      </c>
      <c r="D245" t="s">
        <v>15</v>
      </c>
      <c r="E245">
        <f>25000/700</f>
        <v>35.714285714285715</v>
      </c>
      <c r="F245" t="s">
        <v>4</v>
      </c>
      <c r="G245">
        <v>100</v>
      </c>
      <c r="H245" t="s">
        <v>16</v>
      </c>
    </row>
    <row r="246" spans="2:8">
      <c r="B246">
        <v>8858721531370</v>
      </c>
      <c r="C246" t="s">
        <v>442</v>
      </c>
      <c r="D246" t="s">
        <v>15</v>
      </c>
      <c r="E246">
        <f>25000/700</f>
        <v>35.714285714285715</v>
      </c>
      <c r="F246" t="s">
        <v>4</v>
      </c>
      <c r="G246">
        <v>100</v>
      </c>
      <c r="H246" t="s">
        <v>16</v>
      </c>
    </row>
    <row r="247" spans="2:8">
      <c r="B247" t="s">
        <v>443</v>
      </c>
      <c r="C247" t="s">
        <v>444</v>
      </c>
      <c r="D247" t="s">
        <v>38</v>
      </c>
      <c r="E247">
        <v>1000</v>
      </c>
      <c r="G247">
        <v>92</v>
      </c>
      <c r="H247" t="s">
        <v>445</v>
      </c>
    </row>
    <row r="248" spans="2:8">
      <c r="B248">
        <v>8858721531356</v>
      </c>
      <c r="C248" t="s">
        <v>446</v>
      </c>
      <c r="D248" t="s">
        <v>15</v>
      </c>
      <c r="E248">
        <f>15000/700</f>
        <v>21.428571428571427</v>
      </c>
      <c r="F248" t="s">
        <v>4</v>
      </c>
      <c r="G248">
        <v>100</v>
      </c>
      <c r="H248" t="s">
        <v>16</v>
      </c>
    </row>
    <row r="249" spans="2:8">
      <c r="B249">
        <v>8858721531394</v>
      </c>
      <c r="C249" t="s">
        <v>447</v>
      </c>
      <c r="D249" t="s">
        <v>15</v>
      </c>
    </row>
    <row r="250" spans="2:8">
      <c r="B250">
        <v>8858721531400</v>
      </c>
      <c r="C250" t="s">
        <v>448</v>
      </c>
      <c r="D250" t="s">
        <v>15</v>
      </c>
    </row>
    <row r="251" spans="2:8">
      <c r="B251">
        <v>8858721531417</v>
      </c>
      <c r="C251" t="s">
        <v>449</v>
      </c>
      <c r="D251" t="s">
        <v>15</v>
      </c>
    </row>
    <row r="252" spans="2:8">
      <c r="B252">
        <v>8858721531042</v>
      </c>
      <c r="C252" t="s">
        <v>450</v>
      </c>
      <c r="D252" t="s">
        <v>15</v>
      </c>
    </row>
    <row r="253" spans="2:8">
      <c r="B253">
        <v>8858721531059</v>
      </c>
      <c r="C253" t="s">
        <v>451</v>
      </c>
      <c r="D253" t="s">
        <v>15</v>
      </c>
    </row>
    <row r="254" spans="2:8">
      <c r="B254">
        <v>8858721531066</v>
      </c>
      <c r="C254" t="s">
        <v>452</v>
      </c>
      <c r="D254" t="s">
        <v>15</v>
      </c>
    </row>
    <row r="255" spans="2:8">
      <c r="B255">
        <v>8858721531073</v>
      </c>
      <c r="C255" t="s">
        <v>453</v>
      </c>
      <c r="D255" t="s">
        <v>15</v>
      </c>
    </row>
    <row r="256" spans="2:8">
      <c r="B256">
        <v>8858721532278</v>
      </c>
      <c r="C256" t="s">
        <v>454</v>
      </c>
      <c r="D256" t="s">
        <v>15</v>
      </c>
    </row>
    <row r="257" spans="2:8">
      <c r="B257">
        <v>8858721532285</v>
      </c>
      <c r="C257" t="s">
        <v>455</v>
      </c>
      <c r="D257" t="s">
        <v>15</v>
      </c>
    </row>
    <row r="258" spans="2:8">
      <c r="B258">
        <v>8858721532292</v>
      </c>
      <c r="C258" t="s">
        <v>456</v>
      </c>
      <c r="D258" t="s">
        <v>15</v>
      </c>
    </row>
    <row r="259" spans="2:8">
      <c r="B259">
        <v>8858721530403</v>
      </c>
      <c r="C259" t="s">
        <v>457</v>
      </c>
      <c r="D259" t="s">
        <v>15</v>
      </c>
      <c r="E259">
        <v>10000</v>
      </c>
    </row>
    <row r="260" spans="2:8">
      <c r="B260">
        <v>8851123101013</v>
      </c>
      <c r="C260" t="s">
        <v>458</v>
      </c>
      <c r="D260" t="s">
        <v>15</v>
      </c>
    </row>
    <row r="261" spans="2:8">
      <c r="C261" t="s">
        <v>459</v>
      </c>
    </row>
    <row r="262" spans="2:8">
      <c r="B262">
        <v>8858812682509</v>
      </c>
      <c r="C262" t="s">
        <v>460</v>
      </c>
      <c r="D262" t="s">
        <v>9</v>
      </c>
      <c r="E262">
        <v>35000</v>
      </c>
      <c r="G262">
        <v>99</v>
      </c>
      <c r="H262" t="s">
        <v>75</v>
      </c>
    </row>
    <row r="263" spans="2:8">
      <c r="B263" t="s">
        <v>461</v>
      </c>
      <c r="C263" t="s">
        <v>462</v>
      </c>
      <c r="D263" t="s">
        <v>287</v>
      </c>
      <c r="E263">
        <v>157</v>
      </c>
      <c r="F263" t="s">
        <v>4</v>
      </c>
      <c r="G263">
        <v>83</v>
      </c>
      <c r="H263" t="s">
        <v>39</v>
      </c>
    </row>
    <row r="264" spans="2:8">
      <c r="B264" t="s">
        <v>463</v>
      </c>
      <c r="C264" t="s">
        <v>464</v>
      </c>
      <c r="D264" t="s">
        <v>429</v>
      </c>
      <c r="E264">
        <v>3000</v>
      </c>
      <c r="G264">
        <v>330</v>
      </c>
      <c r="H264" t="s">
        <v>16</v>
      </c>
    </row>
    <row r="265" spans="2:8">
      <c r="B265" t="s">
        <v>465</v>
      </c>
      <c r="C265" t="s">
        <v>466</v>
      </c>
      <c r="D265" t="s">
        <v>38</v>
      </c>
      <c r="E265">
        <v>50000</v>
      </c>
      <c r="G265">
        <v>99</v>
      </c>
      <c r="H265" t="s">
        <v>44</v>
      </c>
    </row>
    <row r="266" spans="2:8">
      <c r="B266" t="s">
        <v>467</v>
      </c>
      <c r="C266" t="s">
        <v>468</v>
      </c>
      <c r="D266" t="s">
        <v>38</v>
      </c>
      <c r="E266">
        <v>110000</v>
      </c>
      <c r="G266">
        <v>99</v>
      </c>
      <c r="H266" t="s">
        <v>469</v>
      </c>
    </row>
    <row r="267" spans="2:8">
      <c r="B267" t="s">
        <v>470</v>
      </c>
      <c r="C267" t="s">
        <v>471</v>
      </c>
      <c r="D267" t="s">
        <v>429</v>
      </c>
      <c r="E267">
        <v>55000</v>
      </c>
      <c r="G267">
        <v>47</v>
      </c>
      <c r="H267" t="s">
        <v>16</v>
      </c>
    </row>
    <row r="268" spans="2:8">
      <c r="B268" t="s">
        <v>472</v>
      </c>
      <c r="C268" t="s">
        <v>473</v>
      </c>
      <c r="D268" t="s">
        <v>429</v>
      </c>
      <c r="E268">
        <v>55000</v>
      </c>
      <c r="G268">
        <v>96</v>
      </c>
      <c r="H268" t="s">
        <v>16</v>
      </c>
    </row>
    <row r="269" spans="2:8">
      <c r="B269">
        <v>6925582166859</v>
      </c>
      <c r="C269" t="s">
        <v>474</v>
      </c>
      <c r="D269" t="s">
        <v>38</v>
      </c>
      <c r="E269">
        <v>71</v>
      </c>
      <c r="F269" t="s">
        <v>4</v>
      </c>
      <c r="G269">
        <v>99</v>
      </c>
      <c r="H269" t="s">
        <v>16</v>
      </c>
    </row>
    <row r="270" spans="2:8">
      <c r="B270" t="s">
        <v>475</v>
      </c>
      <c r="C270" t="s">
        <v>476</v>
      </c>
      <c r="D270" t="s">
        <v>38</v>
      </c>
      <c r="E270">
        <v>50000</v>
      </c>
      <c r="G270">
        <v>99</v>
      </c>
      <c r="H270" t="s">
        <v>44</v>
      </c>
    </row>
    <row r="271" spans="2:8">
      <c r="B271">
        <v>8851123490018</v>
      </c>
      <c r="C271" t="s">
        <v>477</v>
      </c>
      <c r="D271" t="s">
        <v>478</v>
      </c>
      <c r="E271">
        <v>300</v>
      </c>
      <c r="F271" t="s">
        <v>4</v>
      </c>
      <c r="G271">
        <v>96</v>
      </c>
      <c r="H271" t="s">
        <v>82</v>
      </c>
    </row>
    <row r="272" spans="2:8">
      <c r="B272" t="s">
        <v>479</v>
      </c>
      <c r="C272" t="s">
        <v>480</v>
      </c>
      <c r="D272" t="s">
        <v>429</v>
      </c>
      <c r="E272">
        <v>30000</v>
      </c>
      <c r="G272">
        <v>97</v>
      </c>
      <c r="H272" t="s">
        <v>39</v>
      </c>
    </row>
    <row r="273" spans="2:8">
      <c r="B273" t="s">
        <v>481</v>
      </c>
      <c r="C273" t="s">
        <v>482</v>
      </c>
      <c r="D273" t="s">
        <v>38</v>
      </c>
      <c r="E273">
        <v>50000</v>
      </c>
      <c r="G273">
        <v>99</v>
      </c>
      <c r="H273" t="s">
        <v>44</v>
      </c>
    </row>
    <row r="274" spans="2:8">
      <c r="B274" t="s">
        <v>483</v>
      </c>
      <c r="C274" t="s">
        <v>484</v>
      </c>
      <c r="D274" t="s">
        <v>38</v>
      </c>
      <c r="E274">
        <v>50000</v>
      </c>
      <c r="G274">
        <v>99</v>
      </c>
      <c r="H274" t="s">
        <v>44</v>
      </c>
    </row>
    <row r="275" spans="2:8">
      <c r="B275" t="s">
        <v>485</v>
      </c>
      <c r="C275" t="s">
        <v>486</v>
      </c>
      <c r="D275" t="s">
        <v>306</v>
      </c>
      <c r="E275">
        <v>23000</v>
      </c>
      <c r="G275">
        <v>95</v>
      </c>
      <c r="H275" t="s">
        <v>49</v>
      </c>
    </row>
    <row r="276" spans="2:8">
      <c r="B276" t="s">
        <v>487</v>
      </c>
      <c r="C276" t="s">
        <v>488</v>
      </c>
      <c r="D276" t="s">
        <v>38</v>
      </c>
      <c r="E276">
        <v>300</v>
      </c>
      <c r="F276" t="s">
        <v>4</v>
      </c>
      <c r="G276">
        <v>99</v>
      </c>
      <c r="H276" t="s">
        <v>469</v>
      </c>
    </row>
    <row r="277" spans="2:8">
      <c r="B277" t="s">
        <v>489</v>
      </c>
      <c r="C277" t="s">
        <v>490</v>
      </c>
      <c r="D277" t="s">
        <v>38</v>
      </c>
      <c r="E277">
        <v>200</v>
      </c>
      <c r="F277" t="s">
        <v>4</v>
      </c>
      <c r="G277">
        <v>99</v>
      </c>
      <c r="H277" t="s">
        <v>469</v>
      </c>
    </row>
    <row r="278" spans="2:8">
      <c r="B278" t="s">
        <v>491</v>
      </c>
      <c r="C278" t="s">
        <v>492</v>
      </c>
      <c r="D278" t="s">
        <v>323</v>
      </c>
      <c r="E278">
        <v>200000</v>
      </c>
      <c r="G278">
        <v>98</v>
      </c>
      <c r="H278" t="s">
        <v>16</v>
      </c>
    </row>
    <row r="279" spans="2:8">
      <c r="B279" t="s">
        <v>493</v>
      </c>
      <c r="C279" t="s">
        <v>494</v>
      </c>
      <c r="D279" t="s">
        <v>340</v>
      </c>
      <c r="E279">
        <v>170000</v>
      </c>
      <c r="G279">
        <v>99</v>
      </c>
      <c r="H279" t="s">
        <v>495</v>
      </c>
    </row>
    <row r="280" spans="2:8">
      <c r="B280" t="s">
        <v>496</v>
      </c>
      <c r="C280" t="s">
        <v>497</v>
      </c>
      <c r="D280" t="s">
        <v>340</v>
      </c>
      <c r="E280">
        <v>170000</v>
      </c>
      <c r="G280">
        <v>99</v>
      </c>
      <c r="H280" t="s">
        <v>495</v>
      </c>
    </row>
    <row r="281" spans="2:8">
      <c r="B281" t="s">
        <v>498</v>
      </c>
      <c r="C281" t="s">
        <v>499</v>
      </c>
      <c r="D281" t="s">
        <v>340</v>
      </c>
      <c r="E281">
        <v>130000</v>
      </c>
      <c r="G281">
        <v>1000</v>
      </c>
      <c r="H281" t="s">
        <v>49</v>
      </c>
    </row>
    <row r="282" spans="2:8">
      <c r="B282">
        <v>6925582169379</v>
      </c>
      <c r="C282" t="s">
        <v>500</v>
      </c>
      <c r="D282" t="s">
        <v>38</v>
      </c>
      <c r="E282">
        <v>100</v>
      </c>
      <c r="F282" t="s">
        <v>4</v>
      </c>
      <c r="G282">
        <v>99</v>
      </c>
      <c r="H282" t="s">
        <v>55</v>
      </c>
    </row>
    <row r="283" spans="2:8">
      <c r="B283" t="s">
        <v>501</v>
      </c>
      <c r="C283" t="s">
        <v>502</v>
      </c>
      <c r="D283" t="s">
        <v>306</v>
      </c>
      <c r="E283">
        <v>50000</v>
      </c>
      <c r="G283">
        <v>99</v>
      </c>
      <c r="H283" t="s">
        <v>39</v>
      </c>
    </row>
  </sheetData>
  <dataValidations count="1">
    <dataValidation type="list" allowBlank="1" showInputMessage="1" showErrorMessage="1" sqref="B4" xr:uid="{C9B9DBE6-FE20-654F-B06C-3ADE88D5463F}">
      <formula1>$B$3:$B$208</formula1>
    </dataValidation>
  </dataValidations>
  <pageMargins left="0.7" right="0.7" top="0.75" bottom="0.75" header="0.3" footer="0.3"/>
  <pageSetup paperSize="11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Lyly Chanlasone</dc:creator>
  <cp:lastModifiedBy>Lyly Chanlasone</cp:lastModifiedBy>
  <dcterms:created xsi:type="dcterms:W3CDTF">2026-04-06T07:24:08Z</dcterms:created>
  <dcterms:modified xsi:type="dcterms:W3CDTF">2026-04-06T07:37:07Z</dcterms:modified>
</cp:coreProperties>
</file>